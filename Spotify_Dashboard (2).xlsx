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xen\Downloads\"/>
    </mc:Choice>
  </mc:AlternateContent>
  <xr:revisionPtr revIDLastSave="0" documentId="13_ncr:1_{581BC6C8-DA81-4B83-8091-B3D4551E6EF1}" xr6:coauthVersionLast="47" xr6:coauthVersionMax="47" xr10:uidLastSave="{00000000-0000-0000-0000-000000000000}"/>
  <bookViews>
    <workbookView xWindow="-108" yWindow="-108" windowWidth="23256" windowHeight="12456" activeTab="2" xr2:uid="{00000000-000D-0000-FFFF-FFFF00000000}"/>
  </bookViews>
  <sheets>
    <sheet name="Spotify Data" sheetId="1" r:id="rId1"/>
    <sheet name="Sheet1" sheetId="2" r:id="rId2"/>
    <sheet name="Sheet2" sheetId="3" r:id="rId3"/>
  </sheets>
  <definedNames>
    <definedName name="_xlnm._FilterDatabase" localSheetId="0" hidden="1">'Spotify Data'!$A$1:$O$101</definedName>
    <definedName name="Slicer_Plays">#N/A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2" i="1" l="1"/>
  <c r="Q20" i="1"/>
  <c r="Q15" i="1"/>
  <c r="Q12" i="1"/>
</calcChain>
</file>

<file path=xl/sharedStrings.xml><?xml version="1.0" encoding="utf-8"?>
<sst xmlns="http://schemas.openxmlformats.org/spreadsheetml/2006/main" count="980" uniqueCount="150">
  <si>
    <t>Track ID</t>
  </si>
  <si>
    <t>Date</t>
  </si>
  <si>
    <t>Month</t>
  </si>
  <si>
    <t>Day</t>
  </si>
  <si>
    <t>Hour</t>
  </si>
  <si>
    <t>Time Period</t>
  </si>
  <si>
    <t>Song Name</t>
  </si>
  <si>
    <t>Artist</t>
  </si>
  <si>
    <t>Album</t>
  </si>
  <si>
    <t>Genre</t>
  </si>
  <si>
    <t>Language</t>
  </si>
  <si>
    <t>Plays</t>
  </si>
  <si>
    <t>Duration (min)</t>
  </si>
  <si>
    <t>Listening Minutes</t>
  </si>
  <si>
    <t>Platform</t>
  </si>
  <si>
    <t>February</t>
  </si>
  <si>
    <t>Thursday</t>
  </si>
  <si>
    <t>Morning</t>
  </si>
  <si>
    <t>Teri Baaton Mein Aisa Uljha Jiya</t>
  </si>
  <si>
    <t>Arijit Singh</t>
  </si>
  <si>
    <t>Bollywood</t>
  </si>
  <si>
    <t>Hindi</t>
  </si>
  <si>
    <t>iOS</t>
  </si>
  <si>
    <t>October</t>
  </si>
  <si>
    <t>Tuesday</t>
  </si>
  <si>
    <t>Apna Bana Le</t>
  </si>
  <si>
    <t>Bhediya</t>
  </si>
  <si>
    <t>Android</t>
  </si>
  <si>
    <t>April</t>
  </si>
  <si>
    <t>Wednesday</t>
  </si>
  <si>
    <t>Night</t>
  </si>
  <si>
    <t>Kesariya</t>
  </si>
  <si>
    <t>Brahmastra</t>
  </si>
  <si>
    <t>Born To Shine</t>
  </si>
  <si>
    <t>Diljit Dosanjh</t>
  </si>
  <si>
    <t>G.O.A.T.</t>
  </si>
  <si>
    <t>Punjabi</t>
  </si>
  <si>
    <t>August</t>
  </si>
  <si>
    <t>New Rules</t>
  </si>
  <si>
    <t>Dua Lipa</t>
  </si>
  <si>
    <t>Pop</t>
  </si>
  <si>
    <t>English</t>
  </si>
  <si>
    <t>Web Player</t>
  </si>
  <si>
    <t>July</t>
  </si>
  <si>
    <t>Monday</t>
  </si>
  <si>
    <t>Agar Tum Saath Ho</t>
  </si>
  <si>
    <t>Tamasha</t>
  </si>
  <si>
    <t>Evening</t>
  </si>
  <si>
    <t>Tauba Tauba</t>
  </si>
  <si>
    <t>Karan Aujla</t>
  </si>
  <si>
    <t>Bad Newz</t>
  </si>
  <si>
    <t>Photograph</t>
  </si>
  <si>
    <t>Ed Sheeran</t>
  </si>
  <si>
    <t>X</t>
  </si>
  <si>
    <t>Friday</t>
  </si>
  <si>
    <t>Sun Raha Hai</t>
  </si>
  <si>
    <t>Shreya Ghoshal</t>
  </si>
  <si>
    <t>Aashiqui 2</t>
  </si>
  <si>
    <t>Excuses</t>
  </si>
  <si>
    <t>AP Dhillon</t>
  </si>
  <si>
    <t>Excuse</t>
  </si>
  <si>
    <t>May</t>
  </si>
  <si>
    <t>Afternoon</t>
  </si>
  <si>
    <t>Shape of You</t>
  </si>
  <si>
    <t>Divide</t>
  </si>
  <si>
    <t>Tum Kya Mile</t>
  </si>
  <si>
    <t>Rocky Aur Rani Kii Prem Kahaani</t>
  </si>
  <si>
    <t>June</t>
  </si>
  <si>
    <t>Desktop</t>
  </si>
  <si>
    <t>March</t>
  </si>
  <si>
    <t>Lut Gaye</t>
  </si>
  <si>
    <t>Jubin Nautiyal</t>
  </si>
  <si>
    <t>November</t>
  </si>
  <si>
    <t>O Maahi</t>
  </si>
  <si>
    <t>Dunki</t>
  </si>
  <si>
    <t>Circles</t>
  </si>
  <si>
    <t>Post Malone</t>
  </si>
  <si>
    <t>Hollywood's Bleeding</t>
  </si>
  <si>
    <t>Hip-Hop</t>
  </si>
  <si>
    <t>Levitating</t>
  </si>
  <si>
    <t>Future Nostalgia</t>
  </si>
  <si>
    <t>January</t>
  </si>
  <si>
    <t>September</t>
  </si>
  <si>
    <t>Love Yourself</t>
  </si>
  <si>
    <t>Justin Bieber</t>
  </si>
  <si>
    <t>Purpose</t>
  </si>
  <si>
    <t>Save Your Tears</t>
  </si>
  <si>
    <t>The Weeknd</t>
  </si>
  <si>
    <t>After Hours</t>
  </si>
  <si>
    <t>Saturday</t>
  </si>
  <si>
    <t>Heeriye</t>
  </si>
  <si>
    <t>Jasleen Royal</t>
  </si>
  <si>
    <t>Blinding Lights</t>
  </si>
  <si>
    <t>Param Sundari</t>
  </si>
  <si>
    <t>Mimi</t>
  </si>
  <si>
    <t>Sunday</t>
  </si>
  <si>
    <t>Sunflower</t>
  </si>
  <si>
    <t>Spider-Man: Into the Spider-Verse</t>
  </si>
  <si>
    <t>Lovely</t>
  </si>
  <si>
    <t>Billie Eilish</t>
  </si>
  <si>
    <t>13 Reasons Why</t>
  </si>
  <si>
    <t>R&amp;B</t>
  </si>
  <si>
    <t>Lover</t>
  </si>
  <si>
    <t>With You</t>
  </si>
  <si>
    <t>Perfect</t>
  </si>
  <si>
    <t>December</t>
  </si>
  <si>
    <t>Ve Kamleya</t>
  </si>
  <si>
    <t>Stay</t>
  </si>
  <si>
    <t>Justice</t>
  </si>
  <si>
    <t>Manwa Laage</t>
  </si>
  <si>
    <t>Happy New Year</t>
  </si>
  <si>
    <t>Raataan Lambiyan</t>
  </si>
  <si>
    <t>Shershaah</t>
  </si>
  <si>
    <t>Gul</t>
  </si>
  <si>
    <t>Anuv Jain</t>
  </si>
  <si>
    <t>Indie</t>
  </si>
  <si>
    <t>Humnava Mere</t>
  </si>
  <si>
    <t>Chaleya</t>
  </si>
  <si>
    <t>Jawan</t>
  </si>
  <si>
    <t>Starboy</t>
  </si>
  <si>
    <t>Satranga</t>
  </si>
  <si>
    <t>Animal</t>
  </si>
  <si>
    <t>Maan Meri Jaan</t>
  </si>
  <si>
    <t>King</t>
  </si>
  <si>
    <t>Champagne Talk</t>
  </si>
  <si>
    <t>Softly</t>
  </si>
  <si>
    <t>Making Memories</t>
  </si>
  <si>
    <t>What Was I Made For?</t>
  </si>
  <si>
    <t>Barbie: The Album</t>
  </si>
  <si>
    <t>Husn</t>
  </si>
  <si>
    <t>Saibo</t>
  </si>
  <si>
    <t>Shor in the City</t>
  </si>
  <si>
    <t>Spotify</t>
  </si>
  <si>
    <t>Home</t>
  </si>
  <si>
    <t>Songs</t>
  </si>
  <si>
    <t>Artists</t>
  </si>
  <si>
    <t>Albums</t>
  </si>
  <si>
    <t>Playlists</t>
  </si>
  <si>
    <t>Your Music</t>
  </si>
  <si>
    <t>Your value</t>
  </si>
  <si>
    <t>Your Stats</t>
  </si>
  <si>
    <t>Total Plays</t>
  </si>
  <si>
    <t>Listening Time</t>
  </si>
  <si>
    <t>Top Artist Plays</t>
  </si>
  <si>
    <t>Row Labels</t>
  </si>
  <si>
    <t>Grand Total</t>
  </si>
  <si>
    <t>Sum of Listening Minutes</t>
  </si>
  <si>
    <r>
      <rPr>
        <b/>
        <sz val="28"/>
        <color rgb="FF00B050"/>
        <rFont val="Calibri"/>
        <family val="2"/>
        <scheme val="minor"/>
      </rPr>
      <t xml:space="preserve">Spotify </t>
    </r>
    <r>
      <rPr>
        <b/>
        <sz val="28"/>
        <color theme="0"/>
        <rFont val="Calibri"/>
        <family val="2"/>
        <scheme val="minor"/>
      </rPr>
      <t xml:space="preserve">Dashboard </t>
    </r>
  </si>
  <si>
    <t>Sum of Plays</t>
  </si>
  <si>
    <t>Total Songs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</si>
</sst>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scheme val="minor"/>
    </font>
    <font>
      <b/>
      <sz val="11"/>
      <name val="Calibri"/>
    </font>
    <font>
      <sz val="11"/>
      <color theme="0"/>
      <name val="Calibri"/>
      <family val="2"/>
      <scheme val="minor"/>
    </font>
    <font>
      <b/>
      <sz val="22"/>
      <color rgb="FF00B050"/>
      <name val="Calibri"/>
      <family val="2"/>
      <scheme val="minor"/>
    </font>
    <font>
      <b/>
      <sz val="20"/>
      <color theme="1"/>
      <name val="Calibri"/>
      <family val="2"/>
      <scheme val="minor"/>
    </font>
    <font>
      <b/>
      <sz val="24"/>
      <color theme="0"/>
      <name val="Calibri"/>
      <family val="2"/>
      <scheme val="minor"/>
    </font>
    <font>
      <b/>
      <sz val="28"/>
      <color theme="0"/>
      <name val="Calibri"/>
      <family val="2"/>
      <scheme val="minor"/>
    </font>
    <font>
      <sz val="28"/>
      <color theme="0"/>
      <name val="Calibri"/>
      <family val="2"/>
      <scheme val="minor"/>
    </font>
    <font>
      <b/>
      <sz val="16"/>
      <color theme="0"/>
      <name val="Calibri"/>
      <family val="2"/>
      <scheme val="minor"/>
    </font>
    <font>
      <b/>
      <sz val="28"/>
      <color rgb="FF00B050"/>
      <name val="Calibri"/>
      <family val="2"/>
      <scheme val="minor"/>
    </font>
    <font>
      <b/>
      <sz val="20"/>
      <color theme="0"/>
      <name val="Calibri"/>
      <family val="2"/>
      <scheme val="minor"/>
    </font>
  </fonts>
  <fills count="4">
    <fill>
      <patternFill patternType="none"/>
    </fill>
    <fill>
      <patternFill patternType="gray125"/>
    </fill>
    <fill>
      <patternFill patternType="solid">
        <fgColor rgb="FF0B141A"/>
        <bgColor indexed="64"/>
      </patternFill>
    </fill>
    <fill>
      <patternFill patternType="solid">
        <fgColor rgb="FF00B050"/>
        <bgColor indexed="64"/>
      </patternFill>
    </fill>
  </fills>
  <borders count="8">
    <border>
      <left/>
      <right/>
      <top/>
      <bottom/>
      <diagonal/>
    </border>
    <border>
      <left style="thin">
        <color auto="1"/>
      </left>
      <right style="thin">
        <color auto="1"/>
      </right>
      <top/>
      <bottom style="thin">
        <color auto="1"/>
      </bottom>
      <diagonal/>
    </border>
    <border>
      <left/>
      <right style="thin">
        <color theme="0"/>
      </right>
      <top style="thin">
        <color theme="0"/>
      </top>
      <bottom/>
      <diagonal/>
    </border>
    <border>
      <left style="thin">
        <color theme="0"/>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s>
  <cellStyleXfs count="1">
    <xf numFmtId="0" fontId="0" fillId="0" borderId="0"/>
  </cellStyleXfs>
  <cellXfs count="29">
    <xf numFmtId="0" fontId="0" fillId="0" borderId="0" xfId="0"/>
    <xf numFmtId="164" fontId="0" fillId="0" borderId="0" xfId="0" applyNumberFormat="1"/>
    <xf numFmtId="0" fontId="1" fillId="0" borderId="1" xfId="0" applyFont="1" applyBorder="1" applyAlignment="1">
      <alignment horizontal="center" vertical="top"/>
    </xf>
    <xf numFmtId="0" fontId="0" fillId="2" borderId="0" xfId="0" applyFill="1"/>
    <xf numFmtId="0" fontId="2" fillId="2" borderId="0" xfId="0" applyFont="1" applyFill="1"/>
    <xf numFmtId="0" fontId="6" fillId="2" borderId="0" xfId="0" applyFont="1" applyFill="1"/>
    <xf numFmtId="0" fontId="7" fillId="2" borderId="0" xfId="0" applyFont="1" applyFill="1"/>
    <xf numFmtId="0" fontId="0" fillId="2" borderId="4" xfId="0" applyFill="1" applyBorder="1" applyAlignment="1">
      <alignment horizontal="center"/>
    </xf>
    <xf numFmtId="0" fontId="0" fillId="2" borderId="5" xfId="0" applyFill="1" applyBorder="1" applyAlignment="1">
      <alignment horizontal="center"/>
    </xf>
    <xf numFmtId="0" fontId="0" fillId="2" borderId="0" xfId="0" applyFill="1" applyAlignment="1"/>
    <xf numFmtId="0" fontId="8" fillId="2" borderId="3" xfId="0" applyFont="1" applyFill="1" applyBorder="1" applyAlignment="1">
      <alignment horizontal="center"/>
    </xf>
    <xf numFmtId="0" fontId="8" fillId="2" borderId="2" xfId="0" applyFont="1" applyFill="1" applyBorder="1" applyAlignment="1">
      <alignment horizontal="center"/>
    </xf>
    <xf numFmtId="0" fontId="8" fillId="2" borderId="4" xfId="0" applyFont="1" applyFill="1" applyBorder="1" applyAlignment="1">
      <alignment horizontal="center"/>
    </xf>
    <xf numFmtId="0" fontId="8" fillId="2" borderId="5" xfId="0" applyFont="1" applyFill="1" applyBorder="1" applyAlignment="1">
      <alignment horizontal="center"/>
    </xf>
    <xf numFmtId="0" fontId="0" fillId="2" borderId="2"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Alignment="1"/>
    <xf numFmtId="0" fontId="2" fillId="3" borderId="0" xfId="0" applyFont="1" applyFill="1" applyAlignment="1"/>
    <xf numFmtId="0" fontId="2" fillId="2" borderId="0" xfId="0" applyFont="1" applyFill="1" applyAlignment="1"/>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5" fillId="2" borderId="7" xfId="0" applyFont="1" applyFill="1" applyBorder="1" applyAlignment="1">
      <alignment horizontal="center"/>
    </xf>
    <xf numFmtId="0" fontId="10"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cellXfs>
  <cellStyles count="1">
    <cellStyle name="Normal" xfId="0" builtinId="0"/>
  </cellStyles>
  <dxfs count="4">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s>
  <tableStyles count="0" defaultTableStyle="TableStyleMedium9" defaultPivotStyle="PivotStyleLight16"/>
  <colors>
    <mruColors>
      <color rgb="FF0B141A"/>
      <color rgb="FF0712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(2).xlsx]Sheet1!PivotTable1</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Listening</a:t>
            </a:r>
            <a:r>
              <a:rPr lang="en-US" b="1" baseline="0">
                <a:solidFill>
                  <a:schemeClr val="bg1"/>
                </a:solidFill>
              </a:rPr>
              <a:t> Minutes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c:f>
              <c:strCache>
                <c:ptCount val="1"/>
                <c:pt idx="0">
                  <c:v>Total</c:v>
                </c:pt>
              </c:strCache>
            </c:strRef>
          </c:tx>
          <c:spPr>
            <a:ln w="28575" cap="rnd">
              <a:solidFill>
                <a:srgbClr val="00B050"/>
              </a:solidFill>
              <a:round/>
            </a:ln>
            <a:effectLst/>
          </c:spPr>
          <c:marker>
            <c:symbol val="none"/>
          </c:marker>
          <c:cat>
            <c:strRef>
              <c:f>Sheet1!$A$3:$A$15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Sheet1!$B$3:$B$15</c:f>
              <c:numCache>
                <c:formatCode>General</c:formatCode>
                <c:ptCount val="12"/>
                <c:pt idx="0">
                  <c:v>31867.3</c:v>
                </c:pt>
                <c:pt idx="1">
                  <c:v>57263.5</c:v>
                </c:pt>
                <c:pt idx="2">
                  <c:v>22670.899999999998</c:v>
                </c:pt>
                <c:pt idx="3">
                  <c:v>82450.100000000006</c:v>
                </c:pt>
                <c:pt idx="4">
                  <c:v>59319.700000000004</c:v>
                </c:pt>
                <c:pt idx="5">
                  <c:v>14936.5</c:v>
                </c:pt>
                <c:pt idx="6">
                  <c:v>59438.499999999993</c:v>
                </c:pt>
                <c:pt idx="7">
                  <c:v>62778.5</c:v>
                </c:pt>
                <c:pt idx="8">
                  <c:v>47330</c:v>
                </c:pt>
                <c:pt idx="9">
                  <c:v>24117.100000000002</c:v>
                </c:pt>
                <c:pt idx="10">
                  <c:v>39102.400000000001</c:v>
                </c:pt>
                <c:pt idx="11">
                  <c:v>37470.6</c:v>
                </c:pt>
              </c:numCache>
            </c:numRef>
          </c:val>
          <c:smooth val="0"/>
          <c:extLst>
            <c:ext xmlns:c16="http://schemas.microsoft.com/office/drawing/2014/chart" uri="{C3380CC4-5D6E-409C-BE32-E72D297353CC}">
              <c16:uniqueId val="{00000000-6919-4016-BD9B-4D3959698458}"/>
            </c:ext>
          </c:extLst>
        </c:ser>
        <c:dLbls>
          <c:showLegendKey val="0"/>
          <c:showVal val="0"/>
          <c:showCatName val="0"/>
          <c:showSerName val="0"/>
          <c:showPercent val="0"/>
          <c:showBubbleSize val="0"/>
        </c:dLbls>
        <c:smooth val="0"/>
        <c:axId val="2084649312"/>
        <c:axId val="36252016"/>
      </c:lineChart>
      <c:catAx>
        <c:axId val="208464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252016"/>
        <c:crosses val="autoZero"/>
        <c:auto val="1"/>
        <c:lblAlgn val="ctr"/>
        <c:lblOffset val="100"/>
        <c:noMultiLvlLbl val="0"/>
      </c:catAx>
      <c:valAx>
        <c:axId val="3625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464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(2).xlsx]Sheet1!PivotTable2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chemeClr val="bg1"/>
                </a:solidFill>
              </a:rPr>
              <a:t>Top</a:t>
            </a:r>
            <a:r>
              <a:rPr lang="en-IN" b="1" baseline="0">
                <a:solidFill>
                  <a:schemeClr val="bg1"/>
                </a:solidFill>
              </a:rPr>
              <a:t> 10 Songs by Plays</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58289588801401"/>
          <c:y val="0.15188429571303586"/>
          <c:w val="0.56017629046369199"/>
          <c:h val="0.68053113152522604"/>
        </c:manualLayout>
      </c:layout>
      <c:barChart>
        <c:barDir val="bar"/>
        <c:grouping val="clustered"/>
        <c:varyColors val="0"/>
        <c:ser>
          <c:idx val="0"/>
          <c:order val="0"/>
          <c:tx>
            <c:strRef>
              <c:f>Sheet1!$E$7</c:f>
              <c:strCache>
                <c:ptCount val="1"/>
                <c:pt idx="0">
                  <c:v>Total</c:v>
                </c:pt>
              </c:strCache>
            </c:strRef>
          </c:tx>
          <c:spPr>
            <a:solidFill>
              <a:srgbClr val="00B050"/>
            </a:solidFill>
            <a:ln>
              <a:noFill/>
            </a:ln>
            <a:effectLst/>
          </c:spPr>
          <c:invertIfNegative val="0"/>
          <c:cat>
            <c:strRef>
              <c:f>Sheet1!$D$8:$D$18</c:f>
              <c:strCache>
                <c:ptCount val="10"/>
                <c:pt idx="0">
                  <c:v>Apna Bana Le</c:v>
                </c:pt>
                <c:pt idx="1">
                  <c:v>Gul</c:v>
                </c:pt>
                <c:pt idx="2">
                  <c:v>Kesariya</c:v>
                </c:pt>
                <c:pt idx="3">
                  <c:v>Lover</c:v>
                </c:pt>
                <c:pt idx="4">
                  <c:v>Param Sundari</c:v>
                </c:pt>
                <c:pt idx="5">
                  <c:v>Shape of You</c:v>
                </c:pt>
                <c:pt idx="6">
                  <c:v>Sun Raha Hai</c:v>
                </c:pt>
                <c:pt idx="7">
                  <c:v>Sunflower</c:v>
                </c:pt>
                <c:pt idx="8">
                  <c:v>Tauba Tauba</c:v>
                </c:pt>
                <c:pt idx="9">
                  <c:v>Teri Baaton Mein Aisa Uljha Jiya</c:v>
                </c:pt>
              </c:strCache>
            </c:strRef>
          </c:cat>
          <c:val>
            <c:numRef>
              <c:f>Sheet1!$E$8:$E$18</c:f>
              <c:numCache>
                <c:formatCode>General</c:formatCode>
                <c:ptCount val="10"/>
                <c:pt idx="0">
                  <c:v>6517</c:v>
                </c:pt>
                <c:pt idx="1">
                  <c:v>6260</c:v>
                </c:pt>
                <c:pt idx="2">
                  <c:v>5325</c:v>
                </c:pt>
                <c:pt idx="3">
                  <c:v>10533</c:v>
                </c:pt>
                <c:pt idx="4">
                  <c:v>4908</c:v>
                </c:pt>
                <c:pt idx="5">
                  <c:v>5210</c:v>
                </c:pt>
                <c:pt idx="6">
                  <c:v>5939</c:v>
                </c:pt>
                <c:pt idx="7">
                  <c:v>5071</c:v>
                </c:pt>
                <c:pt idx="8">
                  <c:v>10978</c:v>
                </c:pt>
                <c:pt idx="9">
                  <c:v>5891</c:v>
                </c:pt>
              </c:numCache>
            </c:numRef>
          </c:val>
          <c:extLst>
            <c:ext xmlns:c16="http://schemas.microsoft.com/office/drawing/2014/chart" uri="{C3380CC4-5D6E-409C-BE32-E72D297353CC}">
              <c16:uniqueId val="{00000000-86B2-4A42-9FB8-80B6DCE6551F}"/>
            </c:ext>
          </c:extLst>
        </c:ser>
        <c:dLbls>
          <c:showLegendKey val="0"/>
          <c:showVal val="0"/>
          <c:showCatName val="0"/>
          <c:showSerName val="0"/>
          <c:showPercent val="0"/>
          <c:showBubbleSize val="0"/>
        </c:dLbls>
        <c:gapWidth val="182"/>
        <c:axId val="98869504"/>
        <c:axId val="81984272"/>
      </c:barChart>
      <c:catAx>
        <c:axId val="9886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84272"/>
        <c:crosses val="autoZero"/>
        <c:auto val="1"/>
        <c:lblAlgn val="ctr"/>
        <c:lblOffset val="100"/>
        <c:noMultiLvlLbl val="0"/>
      </c:catAx>
      <c:valAx>
        <c:axId val="8198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86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(2).xlsx]Sheet1!PivotTable3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Top</a:t>
            </a:r>
            <a:r>
              <a:rPr lang="en-US" sz="1600" b="1" baseline="0">
                <a:solidFill>
                  <a:schemeClr val="bg1"/>
                </a:solidFill>
              </a:rPr>
              <a:t> 10 Artists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Sheet1!$H$26</c:f>
              <c:strCache>
                <c:ptCount val="1"/>
                <c:pt idx="0">
                  <c:v>Total</c:v>
                </c:pt>
              </c:strCache>
            </c:strRef>
          </c:tx>
          <c:spPr>
            <a:solidFill>
              <a:srgbClr val="00B050"/>
            </a:solidFill>
            <a:ln>
              <a:noFill/>
            </a:ln>
            <a:effectLst/>
          </c:spPr>
          <c:invertIfNegative val="0"/>
          <c:cat>
            <c:strRef>
              <c:f>Sheet1!$G$27:$G$37</c:f>
              <c:strCache>
                <c:ptCount val="10"/>
                <c:pt idx="0">
                  <c:v>Anuv Jain</c:v>
                </c:pt>
                <c:pt idx="1">
                  <c:v>Arijit Singh</c:v>
                </c:pt>
                <c:pt idx="2">
                  <c:v>Diljit Dosanjh</c:v>
                </c:pt>
                <c:pt idx="3">
                  <c:v>Ed Sheeran</c:v>
                </c:pt>
                <c:pt idx="4">
                  <c:v>Jubin Nautiyal</c:v>
                </c:pt>
                <c:pt idx="5">
                  <c:v>Justin Bieber</c:v>
                </c:pt>
                <c:pt idx="6">
                  <c:v>Karan Aujla</c:v>
                </c:pt>
                <c:pt idx="7">
                  <c:v>Post Malone</c:v>
                </c:pt>
                <c:pt idx="8">
                  <c:v>Shreya Ghoshal</c:v>
                </c:pt>
                <c:pt idx="9">
                  <c:v>The Weeknd</c:v>
                </c:pt>
              </c:strCache>
            </c:strRef>
          </c:cat>
          <c:val>
            <c:numRef>
              <c:f>Sheet1!$H$27:$H$37</c:f>
              <c:numCache>
                <c:formatCode>General</c:formatCode>
                <c:ptCount val="10"/>
                <c:pt idx="0">
                  <c:v>8372</c:v>
                </c:pt>
                <c:pt idx="1">
                  <c:v>31339</c:v>
                </c:pt>
                <c:pt idx="2">
                  <c:v>13207</c:v>
                </c:pt>
                <c:pt idx="3">
                  <c:v>8993</c:v>
                </c:pt>
                <c:pt idx="4">
                  <c:v>8551</c:v>
                </c:pt>
                <c:pt idx="5">
                  <c:v>7979</c:v>
                </c:pt>
                <c:pt idx="6">
                  <c:v>14393</c:v>
                </c:pt>
                <c:pt idx="7">
                  <c:v>8211</c:v>
                </c:pt>
                <c:pt idx="8">
                  <c:v>18175</c:v>
                </c:pt>
                <c:pt idx="9">
                  <c:v>13523</c:v>
                </c:pt>
              </c:numCache>
            </c:numRef>
          </c:val>
          <c:extLst>
            <c:ext xmlns:c16="http://schemas.microsoft.com/office/drawing/2014/chart" uri="{C3380CC4-5D6E-409C-BE32-E72D297353CC}">
              <c16:uniqueId val="{00000000-AFBF-4215-AEF8-D77ED2EA1FF0}"/>
            </c:ext>
          </c:extLst>
        </c:ser>
        <c:dLbls>
          <c:showLegendKey val="0"/>
          <c:showVal val="0"/>
          <c:showCatName val="0"/>
          <c:showSerName val="0"/>
          <c:showPercent val="0"/>
          <c:showBubbleSize val="0"/>
        </c:dLbls>
        <c:gapWidth val="150"/>
        <c:overlap val="100"/>
        <c:axId val="93318864"/>
        <c:axId val="81973712"/>
      </c:barChart>
      <c:catAx>
        <c:axId val="9331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73712"/>
        <c:crosses val="autoZero"/>
        <c:auto val="1"/>
        <c:lblAlgn val="ctr"/>
        <c:lblOffset val="100"/>
        <c:noMultiLvlLbl val="0"/>
      </c:catAx>
      <c:valAx>
        <c:axId val="81973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31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(2).xlsx]Sheet1!PivotTable4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Listening</a:t>
            </a:r>
            <a:r>
              <a:rPr lang="en-US" sz="1600" b="1" baseline="0">
                <a:solidFill>
                  <a:schemeClr val="bg1"/>
                </a:solidFill>
              </a:rPr>
              <a:t> by language</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7030A0"/>
          </a:solidFill>
          <a:ln w="19050">
            <a:solidFill>
              <a:schemeClr val="lt1"/>
            </a:solidFill>
          </a:ln>
          <a:effectLst/>
        </c:spPr>
      </c:pivotFmt>
      <c:pivotFmt>
        <c:idx val="3"/>
        <c:spPr>
          <a:solidFill>
            <a:schemeClr val="tx1"/>
          </a:solidFill>
          <a:ln w="19050">
            <a:solidFill>
              <a:schemeClr val="lt1"/>
            </a:solidFill>
          </a:ln>
          <a:effectLst/>
        </c:spPr>
      </c:pivotFmt>
      <c:pivotFmt>
        <c:idx val="4"/>
        <c:spPr>
          <a:solidFill>
            <a:schemeClr val="tx1"/>
          </a:solidFill>
          <a:ln w="19050">
            <a:solidFill>
              <a:schemeClr val="lt1"/>
            </a:solidFill>
          </a:ln>
          <a:effectLst/>
        </c:spPr>
      </c:pivotFmt>
      <c:pivotFmt>
        <c:idx val="5"/>
        <c:spPr>
          <a:solidFill>
            <a:srgbClr val="00B0F0"/>
          </a:solidFill>
          <a:ln w="19050">
            <a:solidFill>
              <a:schemeClr val="lt1"/>
            </a:solidFill>
          </a:ln>
          <a:effectLst/>
        </c:spPr>
      </c:pivotFmt>
      <c:pivotFmt>
        <c:idx val="6"/>
        <c:spPr>
          <a:solidFill>
            <a:srgbClr val="FFFF0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pivotFmt>
      <c:pivotFmt>
        <c:idx val="9"/>
        <c:spPr>
          <a:solidFill>
            <a:srgbClr val="00B0F0"/>
          </a:solidFill>
          <a:ln w="19050">
            <a:solidFill>
              <a:schemeClr val="lt1"/>
            </a:solidFill>
          </a:ln>
          <a:effectLst/>
        </c:spPr>
      </c:pivotFmt>
      <c:pivotFmt>
        <c:idx val="10"/>
        <c:spPr>
          <a:solidFill>
            <a:srgbClr val="FFFF00"/>
          </a:solidFill>
          <a:ln w="19050">
            <a:solidFill>
              <a:schemeClr val="lt1"/>
            </a:solidFill>
          </a:ln>
          <a:effectLst/>
        </c:spPr>
      </c:pivotFmt>
      <c:pivotFmt>
        <c:idx val="11"/>
        <c:spPr>
          <a:solidFill>
            <a:schemeClr val="tx1"/>
          </a:solidFill>
          <a:ln w="19050">
            <a:solidFill>
              <a:schemeClr val="lt1"/>
            </a:solidFill>
          </a:ln>
          <a:effectLst/>
        </c:spPr>
      </c:pivotFmt>
      <c:pivotFmt>
        <c:idx val="12"/>
        <c:spPr>
          <a:solidFill>
            <a:srgbClr val="7030A0"/>
          </a:solidFill>
          <a:ln w="19050">
            <a:solidFill>
              <a:schemeClr val="lt1"/>
            </a:solidFill>
          </a:ln>
          <a:effectLst/>
        </c:spPr>
      </c:pivotFmt>
      <c:pivotFmt>
        <c:idx val="13"/>
        <c:spPr>
          <a:solidFill>
            <a:schemeClr val="tx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50"/>
          </a:solidFill>
          <a:ln w="19050">
            <a:solidFill>
              <a:schemeClr val="lt1"/>
            </a:solidFill>
          </a:ln>
          <a:effectLst/>
        </c:spPr>
      </c:pivotFmt>
      <c:pivotFmt>
        <c:idx val="16"/>
        <c:spPr>
          <a:solidFill>
            <a:srgbClr val="00B0F0"/>
          </a:solidFill>
          <a:ln w="19050">
            <a:solidFill>
              <a:schemeClr val="lt1"/>
            </a:solidFill>
          </a:ln>
          <a:effectLst/>
        </c:spPr>
      </c:pivotFmt>
      <c:pivotFmt>
        <c:idx val="17"/>
        <c:spPr>
          <a:solidFill>
            <a:srgbClr val="FFFF00"/>
          </a:solidFill>
          <a:ln w="19050">
            <a:solidFill>
              <a:schemeClr val="lt1"/>
            </a:solidFill>
          </a:ln>
          <a:effectLst/>
        </c:spPr>
      </c:pivotFmt>
      <c:pivotFmt>
        <c:idx val="18"/>
        <c:spPr>
          <a:solidFill>
            <a:schemeClr val="tx1"/>
          </a:solidFill>
          <a:ln w="19050">
            <a:solidFill>
              <a:schemeClr val="lt1"/>
            </a:solidFill>
          </a:ln>
          <a:effectLst/>
        </c:spPr>
      </c:pivotFmt>
      <c:pivotFmt>
        <c:idx val="19"/>
        <c:spPr>
          <a:solidFill>
            <a:srgbClr val="7030A0"/>
          </a:solidFill>
          <a:ln w="19050">
            <a:solidFill>
              <a:schemeClr val="lt1"/>
            </a:solidFill>
          </a:ln>
          <a:effectLst/>
        </c:spPr>
      </c:pivotFmt>
      <c:pivotFmt>
        <c:idx val="20"/>
        <c:spPr>
          <a:solidFill>
            <a:schemeClr val="tx1"/>
          </a:solidFill>
          <a:ln w="19050">
            <a:solidFill>
              <a:schemeClr val="lt1"/>
            </a:solidFill>
          </a:ln>
          <a:effectLst/>
        </c:spPr>
      </c:pivotFmt>
    </c:pivotFmts>
    <c:plotArea>
      <c:layout>
        <c:manualLayout>
          <c:layoutTarget val="inner"/>
          <c:xMode val="edge"/>
          <c:yMode val="edge"/>
          <c:x val="0.30019881889763778"/>
          <c:y val="0.17837962962962964"/>
          <c:w val="0.45963888888888887"/>
          <c:h val="0.76606481481481481"/>
        </c:manualLayout>
      </c:layout>
      <c:doughnutChart>
        <c:varyColors val="1"/>
        <c:ser>
          <c:idx val="0"/>
          <c:order val="0"/>
          <c:tx>
            <c:strRef>
              <c:f>Sheet1!$L$5</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BFC3-45DE-A4B5-940DAF5F93F6}"/>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FC3-45DE-A4B5-940DAF5F93F6}"/>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BFC3-45DE-A4B5-940DAF5F93F6}"/>
              </c:ext>
            </c:extLst>
          </c:dPt>
          <c:dPt>
            <c:idx val="3"/>
            <c:bubble3D val="0"/>
            <c:spPr>
              <a:solidFill>
                <a:schemeClr val="tx1"/>
              </a:solidFill>
              <a:ln w="19050">
                <a:solidFill>
                  <a:schemeClr val="lt1"/>
                </a:solidFill>
              </a:ln>
              <a:effectLst/>
            </c:spPr>
            <c:extLst>
              <c:ext xmlns:c16="http://schemas.microsoft.com/office/drawing/2014/chart" uri="{C3380CC4-5D6E-409C-BE32-E72D297353CC}">
                <c16:uniqueId val="{00000007-BFC3-45DE-A4B5-940DAF5F93F6}"/>
              </c:ext>
            </c:extLst>
          </c:dPt>
          <c:dPt>
            <c:idx val="4"/>
            <c:bubble3D val="0"/>
            <c:spPr>
              <a:solidFill>
                <a:srgbClr val="7030A0"/>
              </a:solidFill>
              <a:ln w="19050">
                <a:solidFill>
                  <a:schemeClr val="lt1"/>
                </a:solidFill>
              </a:ln>
              <a:effectLst/>
            </c:spPr>
            <c:extLst>
              <c:ext xmlns:c16="http://schemas.microsoft.com/office/drawing/2014/chart" uri="{C3380CC4-5D6E-409C-BE32-E72D297353CC}">
                <c16:uniqueId val="{00000009-BFC3-45DE-A4B5-940DAF5F93F6}"/>
              </c:ext>
            </c:extLst>
          </c:dPt>
          <c:dPt>
            <c:idx val="5"/>
            <c:bubble3D val="0"/>
            <c:spPr>
              <a:solidFill>
                <a:schemeClr val="tx1"/>
              </a:solidFill>
              <a:ln w="19050">
                <a:solidFill>
                  <a:schemeClr val="lt1"/>
                </a:solidFill>
              </a:ln>
              <a:effectLst/>
            </c:spPr>
            <c:extLst>
              <c:ext xmlns:c16="http://schemas.microsoft.com/office/drawing/2014/chart" uri="{C3380CC4-5D6E-409C-BE32-E72D297353CC}">
                <c16:uniqueId val="{0000000B-BFC3-45DE-A4B5-940DAF5F93F6}"/>
              </c:ext>
            </c:extLst>
          </c:dPt>
          <c:cat>
            <c:strRef>
              <c:f>Sheet1!$K$6:$K$12</c:f>
              <c:strCache>
                <c:ptCount val="6"/>
                <c:pt idx="0">
                  <c:v>Bollywood</c:v>
                </c:pt>
                <c:pt idx="1">
                  <c:v>Hip-Hop</c:v>
                </c:pt>
                <c:pt idx="2">
                  <c:v>Indie</c:v>
                </c:pt>
                <c:pt idx="3">
                  <c:v>Pop</c:v>
                </c:pt>
                <c:pt idx="4">
                  <c:v>Punjabi</c:v>
                </c:pt>
                <c:pt idx="5">
                  <c:v>R&amp;B</c:v>
                </c:pt>
              </c:strCache>
            </c:strRef>
          </c:cat>
          <c:val>
            <c:numRef>
              <c:f>Sheet1!$L$6:$L$12</c:f>
              <c:numCache>
                <c:formatCode>General</c:formatCode>
                <c:ptCount val="6"/>
                <c:pt idx="0">
                  <c:v>261437.6</c:v>
                </c:pt>
                <c:pt idx="1">
                  <c:v>32401.5</c:v>
                </c:pt>
                <c:pt idx="2">
                  <c:v>28834.400000000001</c:v>
                </c:pt>
                <c:pt idx="3">
                  <c:v>128668</c:v>
                </c:pt>
                <c:pt idx="4">
                  <c:v>78385</c:v>
                </c:pt>
                <c:pt idx="5">
                  <c:v>9018.6</c:v>
                </c:pt>
              </c:numCache>
            </c:numRef>
          </c:val>
          <c:extLst>
            <c:ext xmlns:c16="http://schemas.microsoft.com/office/drawing/2014/chart" uri="{C3380CC4-5D6E-409C-BE32-E72D297353CC}">
              <c16:uniqueId val="{0000000C-BFC3-45DE-A4B5-940DAF5F93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5</xdr:col>
      <xdr:colOff>632460</xdr:colOff>
      <xdr:row>24</xdr:row>
      <xdr:rowOff>38100</xdr:rowOff>
    </xdr:to>
    <xdr:graphicFrame macro="">
      <xdr:nvGraphicFramePr>
        <xdr:cNvPr id="2" name="Chart 1">
          <a:extLst>
            <a:ext uri="{FF2B5EF4-FFF2-40B4-BE49-F238E27FC236}">
              <a16:creationId xmlns:a16="http://schemas.microsoft.com/office/drawing/2014/main" id="{8E6F1808-403D-4472-9E01-E060F9BE7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762000</xdr:colOff>
      <xdr:row>10</xdr:row>
      <xdr:rowOff>160020</xdr:rowOff>
    </xdr:from>
    <xdr:to>
      <xdr:col>9</xdr:col>
      <xdr:colOff>830580</xdr:colOff>
      <xdr:row>24</xdr:row>
      <xdr:rowOff>53340</xdr:rowOff>
    </xdr:to>
    <xdr:graphicFrame macro="">
      <xdr:nvGraphicFramePr>
        <xdr:cNvPr id="3" name="Chart 2">
          <a:extLst>
            <a:ext uri="{FF2B5EF4-FFF2-40B4-BE49-F238E27FC236}">
              <a16:creationId xmlns:a16="http://schemas.microsoft.com/office/drawing/2014/main" id="{B8F7722B-3226-468B-921E-675DCE06F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25</xdr:row>
      <xdr:rowOff>0</xdr:rowOff>
    </xdr:from>
    <xdr:to>
      <xdr:col>5</xdr:col>
      <xdr:colOff>647700</xdr:colOff>
      <xdr:row>38</xdr:row>
      <xdr:rowOff>106680</xdr:rowOff>
    </xdr:to>
    <xdr:graphicFrame macro="">
      <xdr:nvGraphicFramePr>
        <xdr:cNvPr id="4" name="Chart 3">
          <a:extLst>
            <a:ext uri="{FF2B5EF4-FFF2-40B4-BE49-F238E27FC236}">
              <a16:creationId xmlns:a16="http://schemas.microsoft.com/office/drawing/2014/main" id="{C86F93D2-62A8-4469-BBD4-C3E800A6F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731520</xdr:colOff>
      <xdr:row>25</xdr:row>
      <xdr:rowOff>0</xdr:rowOff>
    </xdr:from>
    <xdr:to>
      <xdr:col>9</xdr:col>
      <xdr:colOff>883920</xdr:colOff>
      <xdr:row>38</xdr:row>
      <xdr:rowOff>91440</xdr:rowOff>
    </xdr:to>
    <xdr:graphicFrame macro="">
      <xdr:nvGraphicFramePr>
        <xdr:cNvPr id="5" name="Chart 4">
          <a:extLst>
            <a:ext uri="{FF2B5EF4-FFF2-40B4-BE49-F238E27FC236}">
              <a16:creationId xmlns:a16="http://schemas.microsoft.com/office/drawing/2014/main" id="{821C7142-A1BE-45F5-9A1C-4B4FC7FF6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15240</xdr:colOff>
      <xdr:row>0</xdr:row>
      <xdr:rowOff>83820</xdr:rowOff>
    </xdr:from>
    <xdr:to>
      <xdr:col>12</xdr:col>
      <xdr:colOff>426720</xdr:colOff>
      <xdr:row>2</xdr:row>
      <xdr:rowOff>105791</xdr:rowOff>
    </xdr:to>
    <xdr:pic>
      <xdr:nvPicPr>
        <xdr:cNvPr id="6" name="Picture 5">
          <a:extLst>
            <a:ext uri="{FF2B5EF4-FFF2-40B4-BE49-F238E27FC236}">
              <a16:creationId xmlns:a16="http://schemas.microsoft.com/office/drawing/2014/main" id="{13829B98-7CEE-9E2E-9FE6-BAD6E673F005}"/>
            </a:ext>
          </a:extLst>
        </xdr:cNvPr>
        <xdr:cNvPicPr>
          <a:picLocks noChangeAspect="1"/>
        </xdr:cNvPicPr>
      </xdr:nvPicPr>
      <xdr:blipFill>
        <a:blip xmlns:r="http://schemas.openxmlformats.org/officeDocument/2006/relationships" r:embed="rId5"/>
        <a:stretch>
          <a:fillRect/>
        </a:stretch>
      </xdr:blipFill>
      <xdr:spPr>
        <a:xfrm>
          <a:off x="10408920" y="83820"/>
          <a:ext cx="1424940" cy="669671"/>
        </a:xfrm>
        <a:prstGeom prst="rect">
          <a:avLst/>
        </a:prstGeom>
        <a:solidFill>
          <a:srgbClr val="0B141A"/>
        </a:solidFill>
      </xdr:spPr>
    </xdr:pic>
    <xdr:clientData/>
  </xdr:twoCellAnchor>
  <xdr:twoCellAnchor editAs="oneCell">
    <xdr:from>
      <xdr:col>13</xdr:col>
      <xdr:colOff>96520</xdr:colOff>
      <xdr:row>10</xdr:row>
      <xdr:rowOff>83820</xdr:rowOff>
    </xdr:from>
    <xdr:to>
      <xdr:col>22</xdr:col>
      <xdr:colOff>269240</xdr:colOff>
      <xdr:row>39</xdr:row>
      <xdr:rowOff>167640</xdr:rowOff>
    </xdr:to>
    <xdr:pic>
      <xdr:nvPicPr>
        <xdr:cNvPr id="7" name="Picture 6">
          <a:extLst>
            <a:ext uri="{FF2B5EF4-FFF2-40B4-BE49-F238E27FC236}">
              <a16:creationId xmlns:a16="http://schemas.microsoft.com/office/drawing/2014/main" id="{FB71FF21-AB57-458D-6767-9FC2284F279F}"/>
            </a:ext>
          </a:extLst>
        </xdr:cNvPr>
        <xdr:cNvPicPr>
          <a:picLocks noChangeAspect="1"/>
        </xdr:cNvPicPr>
      </xdr:nvPicPr>
      <xdr:blipFill>
        <a:blip xmlns:r="http://schemas.openxmlformats.org/officeDocument/2006/relationships" r:embed="rId6"/>
        <a:stretch>
          <a:fillRect/>
        </a:stretch>
      </xdr:blipFill>
      <xdr:spPr>
        <a:xfrm>
          <a:off x="12136120" y="2141220"/>
          <a:ext cx="5659120" cy="5240020"/>
        </a:xfrm>
        <a:prstGeom prst="rect">
          <a:avLst/>
        </a:prstGeom>
      </xdr:spPr>
    </xdr:pic>
    <xdr:clientData/>
  </xdr:twoCellAnchor>
  <xdr:twoCellAnchor editAs="oneCell">
    <xdr:from>
      <xdr:col>10</xdr:col>
      <xdr:colOff>406400</xdr:colOff>
      <xdr:row>17</xdr:row>
      <xdr:rowOff>127000</xdr:rowOff>
    </xdr:from>
    <xdr:to>
      <xdr:col>12</xdr:col>
      <xdr:colOff>203200</xdr:colOff>
      <xdr:row>31</xdr:row>
      <xdr:rowOff>104775</xdr:rowOff>
    </xdr:to>
    <mc:AlternateContent xmlns:mc="http://schemas.openxmlformats.org/markup-compatibility/2006">
      <mc:Choice xmlns:a14="http://schemas.microsoft.com/office/drawing/2010/main" Requires="a14">
        <xdr:graphicFrame macro="">
          <xdr:nvGraphicFramePr>
            <xdr:cNvPr id="8" name="Plays">
              <a:extLst>
                <a:ext uri="{FF2B5EF4-FFF2-40B4-BE49-F238E27FC236}">
                  <a16:creationId xmlns:a16="http://schemas.microsoft.com/office/drawing/2014/main" id="{1ECC27A9-4A4A-4157-998C-76CB25D6A423}"/>
                </a:ext>
              </a:extLst>
            </xdr:cNvPr>
            <xdr:cNvGraphicFramePr/>
          </xdr:nvGraphicFramePr>
          <xdr:xfrm>
            <a:off x="0" y="0"/>
            <a:ext cx="0" cy="0"/>
          </xdr:xfrm>
          <a:graphic>
            <a:graphicData uri="http://schemas.microsoft.com/office/drawing/2010/slicer">
              <sle:slicer xmlns:sle="http://schemas.microsoft.com/office/drawing/2010/slicer" name="Plays"/>
            </a:graphicData>
          </a:graphic>
        </xdr:graphicFrame>
      </mc:Choice>
      <mc:Fallback>
        <xdr:sp macro="" textlink="">
          <xdr:nvSpPr>
            <xdr:cNvPr id="0" name=""/>
            <xdr:cNvSpPr>
              <a:spLocks noTextEdit="1"/>
            </xdr:cNvSpPr>
          </xdr:nvSpPr>
          <xdr:spPr>
            <a:xfrm>
              <a:off x="9855200" y="3525520"/>
              <a:ext cx="1838960" cy="2538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saxena" refreshedDate="46285.883856944442" createdVersion="8" refreshedVersion="8" minRefreshableVersion="3" recordCount="100" xr:uid="{65C8E9A0-53DF-40A2-BBB6-A983803BADA9}">
  <cacheSource type="worksheet">
    <worksheetSource name="Table1"/>
  </cacheSource>
  <cacheFields count="15">
    <cacheField name="Track ID" numFmtId="0">
      <sharedItems containsSemiMixedTypes="0" containsString="0" containsNumber="1" containsInteger="1" minValue="1" maxValue="100"/>
    </cacheField>
    <cacheField name="Date" numFmtId="164">
      <sharedItems containsSemiMixedTypes="0" containsNonDate="0" containsDate="1" containsString="0" minDate="2025-01-01T00:00:00" maxDate="2025-12-30T00:00:00"/>
    </cacheField>
    <cacheField name="Month" numFmtId="0">
      <sharedItems count="12">
        <s v="February"/>
        <s v="October"/>
        <s v="April"/>
        <s v="August"/>
        <s v="July"/>
        <s v="May"/>
        <s v="June"/>
        <s v="March"/>
        <s v="November"/>
        <s v="January"/>
        <s v="September"/>
        <s v="December"/>
      </sharedItems>
    </cacheField>
    <cacheField name="Day" numFmtId="0">
      <sharedItems/>
    </cacheField>
    <cacheField name="Hour" numFmtId="0">
      <sharedItems containsSemiMixedTypes="0" containsString="0" containsNumber="1" containsInteger="1" minValue="6" maxValue="23"/>
    </cacheField>
    <cacheField name="Time Period" numFmtId="0">
      <sharedItems/>
    </cacheField>
    <cacheField name="Song Name" numFmtId="0">
      <sharedItems count="41">
        <s v="Teri Baaton Mein Aisa Uljha Jiya"/>
        <s v="Apna Bana Le"/>
        <s v="Kesariya"/>
        <s v="Born To Shine"/>
        <s v="New Rules"/>
        <s v="Agar Tum Saath Ho"/>
        <s v="Tauba Tauba"/>
        <s v="Photograph"/>
        <s v="Sun Raha Hai"/>
        <s v="Excuses"/>
        <s v="Shape of You"/>
        <s v="Tum Kya Mile"/>
        <s v="Lut Gaye"/>
        <s v="O Maahi"/>
        <s v="Circles"/>
        <s v="Levitating"/>
        <s v="Love Yourself"/>
        <s v="Save Your Tears"/>
        <s v="Heeriye"/>
        <s v="Blinding Lights"/>
        <s v="Param Sundari"/>
        <s v="Sunflower"/>
        <s v="Lovely"/>
        <s v="After Hours"/>
        <s v="Lover"/>
        <s v="With You"/>
        <s v="Perfect"/>
        <s v="Ve Kamleya"/>
        <s v="Stay"/>
        <s v="Manwa Laage"/>
        <s v="Raataan Lambiyan"/>
        <s v="Gul"/>
        <s v="Humnava Mere"/>
        <s v="Chaleya"/>
        <s v="Starboy"/>
        <s v="Satranga"/>
        <s v="Maan Meri Jaan"/>
        <s v="Softly"/>
        <s v="What Was I Made For?"/>
        <s v="Husn"/>
        <s v="Saibo"/>
      </sharedItems>
    </cacheField>
    <cacheField name="Artist" numFmtId="0">
      <sharedItems count="15">
        <s v="Arijit Singh"/>
        <s v="Diljit Dosanjh"/>
        <s v="Dua Lipa"/>
        <s v="Karan Aujla"/>
        <s v="Ed Sheeran"/>
        <s v="Shreya Ghoshal"/>
        <s v="AP Dhillon"/>
        <s v="Jubin Nautiyal"/>
        <s v="Post Malone"/>
        <s v="Justin Bieber"/>
        <s v="The Weeknd"/>
        <s v="Jasleen Royal"/>
        <s v="Billie Eilish"/>
        <s v="Anuv Jain"/>
        <s v="King"/>
      </sharedItems>
    </cacheField>
    <cacheField name="Album" numFmtId="0">
      <sharedItems/>
    </cacheField>
    <cacheField name="Genre" numFmtId="0">
      <sharedItems count="6">
        <s v="Bollywood"/>
        <s v="Punjabi"/>
        <s v="Pop"/>
        <s v="Hip-Hop"/>
        <s v="R&amp;B"/>
        <s v="Indie"/>
      </sharedItems>
    </cacheField>
    <cacheField name="Language" numFmtId="0">
      <sharedItems/>
    </cacheField>
    <cacheField name="Plays" numFmtId="0">
      <sharedItems containsSemiMixedTypes="0" containsString="0" containsNumber="1" containsInteger="1" minValue="251" maxValue="2853" count="97">
        <n v="2812"/>
        <n v="2436"/>
        <n v="2128"/>
        <n v="2089"/>
        <n v="1643"/>
        <n v="646"/>
        <n v="761"/>
        <n v="534"/>
        <n v="1806"/>
        <n v="1108"/>
        <n v="919"/>
        <n v="381"/>
        <n v="1120"/>
        <n v="1260"/>
        <n v="816"/>
        <n v="905"/>
        <n v="2417"/>
        <n v="1342"/>
        <n v="1328"/>
        <n v="2744"/>
        <n v="2703"/>
        <n v="487"/>
        <n v="2431"/>
        <n v="2411"/>
        <n v="1526"/>
        <n v="745"/>
        <n v="1192"/>
        <n v="378"/>
        <n v="1127"/>
        <n v="1029"/>
        <n v="2162"/>
        <n v="697"/>
        <n v="1390"/>
        <n v="457"/>
        <n v="2239"/>
        <n v="258"/>
        <n v="2526"/>
        <n v="2470"/>
        <n v="2309"/>
        <n v="528"/>
        <n v="1967"/>
        <n v="1536"/>
        <n v="547"/>
        <n v="2322"/>
        <n v="1417"/>
        <n v="2521"/>
        <n v="688"/>
        <n v="2847"/>
        <n v="1984"/>
        <n v="911"/>
        <n v="558"/>
        <n v="772"/>
        <n v="1272"/>
        <n v="975"/>
        <n v="1161"/>
        <n v="1163"/>
        <n v="1393"/>
        <n v="722"/>
        <n v="2029"/>
        <n v="723"/>
        <n v="2036"/>
        <n v="1602"/>
        <n v="1922"/>
        <n v="1972"/>
        <n v="251"/>
        <n v="2061"/>
        <n v="2842"/>
        <n v="853"/>
        <n v="2829"/>
        <n v="854"/>
        <n v="2371"/>
        <n v="2153"/>
        <n v="1997"/>
        <n v="1262"/>
        <n v="567"/>
        <n v="1919"/>
        <n v="1845"/>
        <n v="1690"/>
        <n v="1153"/>
        <n v="1626"/>
        <n v="360"/>
        <n v="805"/>
        <n v="2112"/>
        <n v="585"/>
        <n v="531"/>
        <n v="874"/>
        <n v="1299"/>
        <n v="2620"/>
        <n v="2675"/>
        <n v="1672"/>
        <n v="1647"/>
        <n v="2853"/>
        <n v="1356"/>
        <n v="1570"/>
        <n v="1581"/>
        <n v="2691"/>
        <n v="2251"/>
      </sharedItems>
    </cacheField>
    <cacheField name="Duration (min)" numFmtId="0">
      <sharedItems containsSemiMixedTypes="0" containsString="0" containsNumber="1" containsInteger="1" minValue="2" maxValue="5"/>
    </cacheField>
    <cacheField name="Listening Minutes" numFmtId="0">
      <sharedItems containsSemiMixedTypes="0" containsString="0" containsNumber="1" minValue="837.7" maxValue="12550.3"/>
    </cacheField>
    <cacheField name="Platform" numFmtId="0">
      <sharedItems/>
    </cacheField>
  </cacheFields>
  <extLst>
    <ext xmlns:x14="http://schemas.microsoft.com/office/spreadsheetml/2009/9/main" uri="{725AE2AE-9491-48be-B2B4-4EB974FC3084}">
      <x14:pivotCacheDefinition pivotCacheId="142034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d v="2025-02-27T00:00:00"/>
    <x v="0"/>
    <s v="Thursday"/>
    <n v="9"/>
    <s v="Morning"/>
    <x v="0"/>
    <x v="0"/>
    <s v="Teri Baaton Mein Aisa Uljha Jiya"/>
    <x v="0"/>
    <s v="Hindi"/>
    <x v="0"/>
    <n v="4"/>
    <n v="1126.4000000000001"/>
    <s v="iOS"/>
  </r>
  <r>
    <n v="2"/>
    <d v="2025-10-07T00:00:00"/>
    <x v="1"/>
    <s v="Tuesday"/>
    <n v="8"/>
    <s v="Morning"/>
    <x v="1"/>
    <x v="0"/>
    <s v="Bhediya"/>
    <x v="0"/>
    <s v="Hindi"/>
    <x v="1"/>
    <n v="5"/>
    <n v="2731.9"/>
    <s v="Android"/>
  </r>
  <r>
    <n v="3"/>
    <d v="2025-04-30T00:00:00"/>
    <x v="2"/>
    <s v="Wednesday"/>
    <n v="23"/>
    <s v="Night"/>
    <x v="2"/>
    <x v="0"/>
    <s v="Brahmastra"/>
    <x v="0"/>
    <s v="Hindi"/>
    <x v="2"/>
    <n v="5"/>
    <n v="9243.1"/>
    <s v="iOS"/>
  </r>
  <r>
    <n v="4"/>
    <d v="2025-04-23T00:00:00"/>
    <x v="2"/>
    <s v="Wednesday"/>
    <n v="11"/>
    <s v="Morning"/>
    <x v="3"/>
    <x v="1"/>
    <s v="G.O.A.T."/>
    <x v="1"/>
    <s v="Punjabi"/>
    <x v="3"/>
    <n v="5"/>
    <n v="8965.5"/>
    <s v="Android"/>
  </r>
  <r>
    <n v="5"/>
    <d v="2025-08-05T00:00:00"/>
    <x v="3"/>
    <s v="Tuesday"/>
    <n v="9"/>
    <s v="Morning"/>
    <x v="4"/>
    <x v="2"/>
    <s v="Dua Lipa"/>
    <x v="2"/>
    <s v="English"/>
    <x v="4"/>
    <n v="4"/>
    <n v="5122.3999999999996"/>
    <s v="Web Player"/>
  </r>
  <r>
    <n v="6"/>
    <d v="2025-07-14T00:00:00"/>
    <x v="4"/>
    <s v="Monday"/>
    <n v="7"/>
    <s v="Morning"/>
    <x v="5"/>
    <x v="0"/>
    <s v="Tamasha"/>
    <x v="0"/>
    <s v="Hindi"/>
    <x v="5"/>
    <n v="4"/>
    <n v="2693.1"/>
    <s v="Web Player"/>
  </r>
  <r>
    <n v="7"/>
    <d v="2025-10-02T00:00:00"/>
    <x v="1"/>
    <s v="Thursday"/>
    <n v="17"/>
    <s v="Evening"/>
    <x v="6"/>
    <x v="3"/>
    <s v="Bad Newz"/>
    <x v="0"/>
    <s v="Punjabi"/>
    <x v="6"/>
    <n v="4"/>
    <n v="2545.1999999999998"/>
    <s v="Web Player"/>
  </r>
  <r>
    <n v="8"/>
    <d v="2025-04-09T00:00:00"/>
    <x v="2"/>
    <s v="Wednesday"/>
    <n v="8"/>
    <s v="Morning"/>
    <x v="7"/>
    <x v="4"/>
    <s v="X"/>
    <x v="2"/>
    <s v="English"/>
    <x v="7"/>
    <n v="3"/>
    <n v="1476.5"/>
    <s v="Web Player"/>
  </r>
  <r>
    <n v="9"/>
    <d v="2025-02-21T00:00:00"/>
    <x v="0"/>
    <s v="Friday"/>
    <n v="11"/>
    <s v="Morning"/>
    <x v="8"/>
    <x v="5"/>
    <s v="Aashiqui 2"/>
    <x v="0"/>
    <s v="Hindi"/>
    <x v="8"/>
    <n v="4"/>
    <n v="6204.2"/>
    <s v="Web Player"/>
  </r>
  <r>
    <n v="10"/>
    <d v="2025-07-01T00:00:00"/>
    <x v="4"/>
    <s v="Tuesday"/>
    <n v="11"/>
    <s v="Morning"/>
    <x v="9"/>
    <x v="6"/>
    <s v="Excuse"/>
    <x v="1"/>
    <s v="Punjabi"/>
    <x v="9"/>
    <n v="4"/>
    <n v="4049.8"/>
    <s v="Android"/>
  </r>
  <r>
    <n v="11"/>
    <d v="2025-05-06T00:00:00"/>
    <x v="5"/>
    <s v="Tuesday"/>
    <n v="16"/>
    <s v="Afternoon"/>
    <x v="10"/>
    <x v="4"/>
    <s v="Divide"/>
    <x v="2"/>
    <s v="English"/>
    <x v="10"/>
    <n v="4"/>
    <n v="3674"/>
    <s v="iOS"/>
  </r>
  <r>
    <n v="12"/>
    <d v="2025-04-28T00:00:00"/>
    <x v="2"/>
    <s v="Monday"/>
    <n v="12"/>
    <s v="Afternoon"/>
    <x v="11"/>
    <x v="0"/>
    <s v="Rocky Aur Rani Kii Prem Kahaani"/>
    <x v="0"/>
    <s v="Hindi"/>
    <x v="11"/>
    <n v="4"/>
    <n v="1334.8"/>
    <s v="Android"/>
  </r>
  <r>
    <n v="13"/>
    <d v="2025-06-11T00:00:00"/>
    <x v="6"/>
    <s v="Wednesday"/>
    <n v="10"/>
    <s v="Morning"/>
    <x v="7"/>
    <x v="4"/>
    <s v="X"/>
    <x v="2"/>
    <s v="English"/>
    <x v="12"/>
    <n v="5"/>
    <n v="4638.8"/>
    <s v="Desktop"/>
  </r>
  <r>
    <n v="14"/>
    <d v="2025-03-13T00:00:00"/>
    <x v="7"/>
    <s v="Thursday"/>
    <n v="18"/>
    <s v="Evening"/>
    <x v="12"/>
    <x v="7"/>
    <s v="Lut Gaye"/>
    <x v="0"/>
    <s v="Hindi"/>
    <x v="13"/>
    <n v="5"/>
    <n v="5744"/>
    <s v="Desktop"/>
  </r>
  <r>
    <n v="15"/>
    <d v="2025-04-23T00:00:00"/>
    <x v="2"/>
    <s v="Wednesday"/>
    <n v="9"/>
    <s v="Morning"/>
    <x v="9"/>
    <x v="6"/>
    <s v="Excuse"/>
    <x v="1"/>
    <s v="Punjabi"/>
    <x v="14"/>
    <n v="5"/>
    <n v="3518.8"/>
    <s v="Android"/>
  </r>
  <r>
    <n v="16"/>
    <d v="2025-11-18T00:00:00"/>
    <x v="8"/>
    <s v="Tuesday"/>
    <n v="18"/>
    <s v="Evening"/>
    <x v="13"/>
    <x v="0"/>
    <s v="Dunki"/>
    <x v="0"/>
    <s v="Hindi"/>
    <x v="15"/>
    <n v="4"/>
    <n v="3735.3"/>
    <s v="Desktop"/>
  </r>
  <r>
    <n v="17"/>
    <d v="2025-08-28T00:00:00"/>
    <x v="3"/>
    <s v="Thursday"/>
    <n v="9"/>
    <s v="Morning"/>
    <x v="14"/>
    <x v="8"/>
    <s v="Hollywood's Bleeding"/>
    <x v="3"/>
    <s v="English"/>
    <x v="16"/>
    <n v="3"/>
    <n v="9362.7999999999993"/>
    <s v="Android"/>
  </r>
  <r>
    <n v="18"/>
    <d v="2025-10-02T00:00:00"/>
    <x v="1"/>
    <s v="Thursday"/>
    <n v="11"/>
    <s v="Morning"/>
    <x v="15"/>
    <x v="2"/>
    <s v="Future Nostalgia"/>
    <x v="2"/>
    <s v="English"/>
    <x v="17"/>
    <n v="4"/>
    <n v="4389.2"/>
    <s v="Desktop"/>
  </r>
  <r>
    <n v="19"/>
    <d v="2025-01-02T00:00:00"/>
    <x v="9"/>
    <s v="Thursday"/>
    <n v="15"/>
    <s v="Afternoon"/>
    <x v="6"/>
    <x v="3"/>
    <s v="Bad Newz"/>
    <x v="0"/>
    <s v="Punjabi"/>
    <x v="18"/>
    <n v="5"/>
    <n v="6157.2"/>
    <s v="Android"/>
  </r>
  <r>
    <n v="20"/>
    <d v="2025-09-17T00:00:00"/>
    <x v="10"/>
    <s v="Wednesday"/>
    <n v="23"/>
    <s v="Night"/>
    <x v="16"/>
    <x v="9"/>
    <s v="Purpose"/>
    <x v="2"/>
    <s v="English"/>
    <x v="19"/>
    <n v="3"/>
    <n v="7817.7"/>
    <s v="iOS"/>
  </r>
  <r>
    <n v="21"/>
    <d v="2025-01-01T00:00:00"/>
    <x v="9"/>
    <s v="Wednesday"/>
    <n v="17"/>
    <s v="Evening"/>
    <x v="17"/>
    <x v="10"/>
    <s v="After Hours"/>
    <x v="2"/>
    <s v="English"/>
    <x v="20"/>
    <n v="4"/>
    <n v="9806.9"/>
    <s v="Android"/>
  </r>
  <r>
    <n v="22"/>
    <d v="2025-05-03T00:00:00"/>
    <x v="5"/>
    <s v="Saturday"/>
    <n v="8"/>
    <s v="Morning"/>
    <x v="18"/>
    <x v="11"/>
    <s v="Heeriye"/>
    <x v="0"/>
    <s v="Hindi"/>
    <x v="21"/>
    <n v="3"/>
    <n v="1816.5"/>
    <s v="Android"/>
  </r>
  <r>
    <n v="23"/>
    <d v="2025-02-05T00:00:00"/>
    <x v="0"/>
    <s v="Wednesday"/>
    <n v="23"/>
    <s v="Night"/>
    <x v="19"/>
    <x v="10"/>
    <s v="After Hours"/>
    <x v="2"/>
    <s v="English"/>
    <x v="22"/>
    <n v="3"/>
    <n v="6318.6"/>
    <s v="Desktop"/>
  </r>
  <r>
    <n v="24"/>
    <d v="2025-05-16T00:00:00"/>
    <x v="5"/>
    <s v="Friday"/>
    <n v="23"/>
    <s v="Night"/>
    <x v="20"/>
    <x v="5"/>
    <s v="Mimi"/>
    <x v="0"/>
    <s v="Hindi"/>
    <x v="23"/>
    <n v="5"/>
    <n v="11006.4"/>
    <s v="iOS"/>
  </r>
  <r>
    <n v="25"/>
    <d v="2025-04-13T00:00:00"/>
    <x v="2"/>
    <s v="Sunday"/>
    <n v="20"/>
    <s v="Evening"/>
    <x v="4"/>
    <x v="2"/>
    <s v="Dua Lipa"/>
    <x v="2"/>
    <s v="English"/>
    <x v="24"/>
    <n v="4"/>
    <n v="6895.2"/>
    <s v="Web Player"/>
  </r>
  <r>
    <n v="26"/>
    <d v="2025-08-20T00:00:00"/>
    <x v="3"/>
    <s v="Wednesday"/>
    <n v="6"/>
    <s v="Morning"/>
    <x v="17"/>
    <x v="10"/>
    <s v="After Hours"/>
    <x v="2"/>
    <s v="English"/>
    <x v="25"/>
    <n v="3"/>
    <n v="2300.4"/>
    <s v="Web Player"/>
  </r>
  <r>
    <n v="27"/>
    <d v="2025-10-11T00:00:00"/>
    <x v="1"/>
    <s v="Saturday"/>
    <n v="7"/>
    <s v="Morning"/>
    <x v="21"/>
    <x v="8"/>
    <s v="Spider-Man: Into the Spider-Verse"/>
    <x v="3"/>
    <s v="English"/>
    <x v="26"/>
    <n v="5"/>
    <n v="5018.5"/>
    <s v="Android"/>
  </r>
  <r>
    <n v="28"/>
    <d v="2025-02-04T00:00:00"/>
    <x v="0"/>
    <s v="Tuesday"/>
    <n v="14"/>
    <s v="Afternoon"/>
    <x v="8"/>
    <x v="5"/>
    <s v="Aashiqui 2"/>
    <x v="0"/>
    <s v="Hindi"/>
    <x v="27"/>
    <n v="4"/>
    <n v="1204.9000000000001"/>
    <s v="iOS"/>
  </r>
  <r>
    <n v="29"/>
    <d v="2025-09-06T00:00:00"/>
    <x v="10"/>
    <s v="Saturday"/>
    <n v="13"/>
    <s v="Afternoon"/>
    <x v="22"/>
    <x v="12"/>
    <s v="13 Reasons Why"/>
    <x v="2"/>
    <s v="English"/>
    <x v="28"/>
    <n v="5"/>
    <n v="4435.3"/>
    <s v="Desktop"/>
  </r>
  <r>
    <n v="30"/>
    <d v="2025-07-28T00:00:00"/>
    <x v="4"/>
    <s v="Monday"/>
    <n v="17"/>
    <s v="Evening"/>
    <x v="23"/>
    <x v="10"/>
    <s v="After Hours"/>
    <x v="4"/>
    <s v="English"/>
    <x v="29"/>
    <n v="3"/>
    <n v="2543.3000000000002"/>
    <s v="Desktop"/>
  </r>
  <r>
    <n v="31"/>
    <d v="2025-07-30T00:00:00"/>
    <x v="4"/>
    <s v="Wednesday"/>
    <n v="7"/>
    <s v="Morning"/>
    <x v="24"/>
    <x v="1"/>
    <s v="G.O.A.T."/>
    <x v="1"/>
    <s v="Punjabi"/>
    <x v="30"/>
    <n v="3"/>
    <n v="6063.5"/>
    <s v="Android"/>
  </r>
  <r>
    <n v="32"/>
    <d v="2025-06-23T00:00:00"/>
    <x v="6"/>
    <s v="Monday"/>
    <n v="10"/>
    <s v="Morning"/>
    <x v="25"/>
    <x v="6"/>
    <s v="With You"/>
    <x v="1"/>
    <s v="Punjabi"/>
    <x v="31"/>
    <n v="3"/>
    <n v="2128.4"/>
    <s v="Desktop"/>
  </r>
  <r>
    <n v="33"/>
    <d v="2025-04-04T00:00:00"/>
    <x v="2"/>
    <s v="Friday"/>
    <n v="20"/>
    <s v="Evening"/>
    <x v="24"/>
    <x v="1"/>
    <s v="G.O.A.T."/>
    <x v="1"/>
    <s v="Punjabi"/>
    <x v="32"/>
    <n v="4"/>
    <n v="5328.1"/>
    <s v="Android"/>
  </r>
  <r>
    <n v="34"/>
    <d v="2025-02-20T00:00:00"/>
    <x v="0"/>
    <s v="Thursday"/>
    <n v="13"/>
    <s v="Afternoon"/>
    <x v="26"/>
    <x v="4"/>
    <s v="Divide"/>
    <x v="2"/>
    <s v="English"/>
    <x v="33"/>
    <n v="5"/>
    <n v="2234.6999999999998"/>
    <s v="Android"/>
  </r>
  <r>
    <n v="35"/>
    <d v="2025-07-28T00:00:00"/>
    <x v="4"/>
    <s v="Monday"/>
    <n v="7"/>
    <s v="Morning"/>
    <x v="20"/>
    <x v="5"/>
    <s v="Mimi"/>
    <x v="0"/>
    <s v="Hindi"/>
    <x v="34"/>
    <n v="4"/>
    <n v="8624.7000000000007"/>
    <s v="Desktop"/>
  </r>
  <r>
    <n v="36"/>
    <d v="2025-07-14T00:00:00"/>
    <x v="4"/>
    <s v="Monday"/>
    <n v="15"/>
    <s v="Afternoon"/>
    <x v="20"/>
    <x v="5"/>
    <s v="Mimi"/>
    <x v="0"/>
    <s v="Hindi"/>
    <x v="35"/>
    <n v="4"/>
    <n v="929.5"/>
    <s v="Desktop"/>
  </r>
  <r>
    <n v="37"/>
    <d v="2025-12-23T00:00:00"/>
    <x v="11"/>
    <s v="Tuesday"/>
    <n v="12"/>
    <s v="Afternoon"/>
    <x v="24"/>
    <x v="1"/>
    <s v="G.O.A.T."/>
    <x v="1"/>
    <s v="Punjabi"/>
    <x v="36"/>
    <n v="4"/>
    <n v="9569.9"/>
    <s v="Web Player"/>
  </r>
  <r>
    <n v="38"/>
    <d v="2025-10-24T00:00:00"/>
    <x v="1"/>
    <s v="Friday"/>
    <n v="7"/>
    <s v="Morning"/>
    <x v="11"/>
    <x v="0"/>
    <s v="Rocky Aur Rani Kii Prem Kahaani"/>
    <x v="0"/>
    <s v="Hindi"/>
    <x v="37"/>
    <n v="3"/>
    <n v="7152.7"/>
    <s v="Android"/>
  </r>
  <r>
    <n v="39"/>
    <d v="2025-09-02T00:00:00"/>
    <x v="10"/>
    <s v="Tuesday"/>
    <n v="11"/>
    <s v="Morning"/>
    <x v="21"/>
    <x v="8"/>
    <s v="Spider-Man: Into the Spider-Verse"/>
    <x v="3"/>
    <s v="English"/>
    <x v="38"/>
    <n v="5"/>
    <n v="9077.7999999999993"/>
    <s v="Android"/>
  </r>
  <r>
    <n v="40"/>
    <d v="2025-11-01T00:00:00"/>
    <x v="8"/>
    <s v="Saturday"/>
    <n v="7"/>
    <s v="Morning"/>
    <x v="27"/>
    <x v="0"/>
    <s v="Rocky Aur Rani Kii Prem Kahaani"/>
    <x v="0"/>
    <s v="Hindi"/>
    <x v="39"/>
    <n v="3"/>
    <n v="1706.1"/>
    <s v="iOS"/>
  </r>
  <r>
    <n v="41"/>
    <d v="2025-02-11T00:00:00"/>
    <x v="0"/>
    <s v="Tuesday"/>
    <n v="14"/>
    <s v="Afternoon"/>
    <x v="28"/>
    <x v="9"/>
    <s v="Justice"/>
    <x v="2"/>
    <s v="English"/>
    <x v="40"/>
    <n v="5"/>
    <n v="9208.7000000000007"/>
    <s v="Web Player"/>
  </r>
  <r>
    <n v="42"/>
    <d v="2025-12-09T00:00:00"/>
    <x v="11"/>
    <s v="Tuesday"/>
    <n v="15"/>
    <s v="Afternoon"/>
    <x v="29"/>
    <x v="5"/>
    <s v="Happy New Year"/>
    <x v="0"/>
    <s v="Hindi"/>
    <x v="41"/>
    <n v="3"/>
    <n v="4767.2"/>
    <s v="iOS"/>
  </r>
  <r>
    <n v="43"/>
    <d v="2025-06-11T00:00:00"/>
    <x v="6"/>
    <s v="Wednesday"/>
    <n v="8"/>
    <s v="Morning"/>
    <x v="6"/>
    <x v="3"/>
    <s v="Bad Newz"/>
    <x v="0"/>
    <s v="Punjabi"/>
    <x v="42"/>
    <n v="2"/>
    <n v="1354.1"/>
    <s v="Android"/>
  </r>
  <r>
    <n v="44"/>
    <d v="2025-04-20T00:00:00"/>
    <x v="2"/>
    <s v="Sunday"/>
    <n v="8"/>
    <s v="Morning"/>
    <x v="10"/>
    <x v="4"/>
    <s v="Divide"/>
    <x v="2"/>
    <s v="English"/>
    <x v="43"/>
    <n v="4"/>
    <n v="7065.6"/>
    <s v="Web Player"/>
  </r>
  <r>
    <n v="45"/>
    <d v="2025-07-09T00:00:00"/>
    <x v="4"/>
    <s v="Wednesday"/>
    <n v="22"/>
    <s v="Night"/>
    <x v="30"/>
    <x v="7"/>
    <s v="Shershaah"/>
    <x v="0"/>
    <s v="Hindi"/>
    <x v="44"/>
    <n v="3"/>
    <n v="4234.3"/>
    <s v="Web Player"/>
  </r>
  <r>
    <n v="46"/>
    <d v="2025-12-08T00:00:00"/>
    <x v="11"/>
    <s v="Monday"/>
    <n v="10"/>
    <s v="Morning"/>
    <x v="0"/>
    <x v="0"/>
    <s v="Teri Baaton Mein Aisa Uljha Jiya"/>
    <x v="0"/>
    <s v="Hindi"/>
    <x v="45"/>
    <n v="4"/>
    <n v="10148.1"/>
    <s v="Android"/>
  </r>
  <r>
    <n v="47"/>
    <d v="2025-03-01T00:00:00"/>
    <x v="7"/>
    <s v="Saturday"/>
    <n v="12"/>
    <s v="Afternoon"/>
    <x v="12"/>
    <x v="7"/>
    <s v="Lut Gaye"/>
    <x v="0"/>
    <s v="Hindi"/>
    <x v="46"/>
    <n v="5"/>
    <n v="2755.3"/>
    <s v="Web Player"/>
  </r>
  <r>
    <n v="48"/>
    <d v="2025-04-15T00:00:00"/>
    <x v="2"/>
    <s v="Tuesday"/>
    <n v="7"/>
    <s v="Morning"/>
    <x v="31"/>
    <x v="13"/>
    <s v="Gul"/>
    <x v="5"/>
    <s v="Hindi"/>
    <x v="47"/>
    <n v="4"/>
    <n v="9776.6"/>
    <s v="Web Player"/>
  </r>
  <r>
    <n v="49"/>
    <d v="2025-11-21T00:00:00"/>
    <x v="8"/>
    <s v="Friday"/>
    <n v="10"/>
    <s v="Morning"/>
    <x v="5"/>
    <x v="0"/>
    <s v="Tamasha"/>
    <x v="0"/>
    <s v="Hindi"/>
    <x v="48"/>
    <n v="4"/>
    <n v="5925.8"/>
    <s v="Web Player"/>
  </r>
  <r>
    <n v="50"/>
    <d v="2025-05-15T00:00:00"/>
    <x v="5"/>
    <s v="Thursday"/>
    <n v="23"/>
    <s v="Night"/>
    <x v="16"/>
    <x v="9"/>
    <s v="Purpose"/>
    <x v="2"/>
    <s v="English"/>
    <x v="49"/>
    <n v="4"/>
    <n v="3775.6"/>
    <s v="Desktop"/>
  </r>
  <r>
    <n v="51"/>
    <d v="2025-02-27T00:00:00"/>
    <x v="0"/>
    <s v="Thursday"/>
    <n v="23"/>
    <s v="Night"/>
    <x v="0"/>
    <x v="0"/>
    <s v="Teri Baaton Mein Aisa Uljha Jiya"/>
    <x v="0"/>
    <s v="Hindi"/>
    <x v="50"/>
    <n v="3"/>
    <n v="1707.2"/>
    <s v="Web Player"/>
  </r>
  <r>
    <n v="52"/>
    <d v="2025-08-09T00:00:00"/>
    <x v="3"/>
    <s v="Saturday"/>
    <n v="17"/>
    <s v="Evening"/>
    <x v="13"/>
    <x v="0"/>
    <s v="Dunki"/>
    <x v="0"/>
    <s v="Hindi"/>
    <x v="51"/>
    <n v="3"/>
    <n v="1904.6"/>
    <s v="Android"/>
  </r>
  <r>
    <n v="53"/>
    <d v="2025-12-16T00:00:00"/>
    <x v="11"/>
    <s v="Tuesday"/>
    <n v="10"/>
    <s v="Morning"/>
    <x v="29"/>
    <x v="5"/>
    <s v="Happy New Year"/>
    <x v="0"/>
    <s v="Hindi"/>
    <x v="52"/>
    <n v="3"/>
    <n v="3459.9"/>
    <s v="Desktop"/>
  </r>
  <r>
    <n v="54"/>
    <d v="2025-03-25T00:00:00"/>
    <x v="7"/>
    <s v="Tuesday"/>
    <n v="19"/>
    <s v="Evening"/>
    <x v="30"/>
    <x v="7"/>
    <s v="Shershaah"/>
    <x v="0"/>
    <s v="Hindi"/>
    <x v="53"/>
    <n v="4"/>
    <n v="3305.3"/>
    <s v="Web Player"/>
  </r>
  <r>
    <n v="55"/>
    <d v="2025-05-08T00:00:00"/>
    <x v="5"/>
    <s v="Thursday"/>
    <n v="18"/>
    <s v="Evening"/>
    <x v="22"/>
    <x v="12"/>
    <s v="13 Reasons Why"/>
    <x v="2"/>
    <s v="English"/>
    <x v="17"/>
    <n v="3"/>
    <n v="4446.8"/>
    <s v="Android"/>
  </r>
  <r>
    <n v="56"/>
    <d v="2025-08-29T00:00:00"/>
    <x v="3"/>
    <s v="Friday"/>
    <n v="17"/>
    <s v="Evening"/>
    <x v="2"/>
    <x v="0"/>
    <s v="Brahmastra"/>
    <x v="0"/>
    <s v="Hindi"/>
    <x v="54"/>
    <n v="3"/>
    <n v="4077.1"/>
    <s v="Desktop"/>
  </r>
  <r>
    <n v="57"/>
    <d v="2025-04-27T00:00:00"/>
    <x v="2"/>
    <s v="Sunday"/>
    <n v="16"/>
    <s v="Afternoon"/>
    <x v="18"/>
    <x v="11"/>
    <s v="Heeriye"/>
    <x v="0"/>
    <s v="Hindi"/>
    <x v="55"/>
    <n v="3"/>
    <n v="3128.1"/>
    <s v="Desktop"/>
  </r>
  <r>
    <n v="58"/>
    <d v="2025-02-05T00:00:00"/>
    <x v="0"/>
    <s v="Wednesday"/>
    <n v="23"/>
    <s v="Night"/>
    <x v="32"/>
    <x v="7"/>
    <s v="Humnava Mere"/>
    <x v="0"/>
    <s v="Hindi"/>
    <x v="56"/>
    <n v="4"/>
    <n v="5435.3"/>
    <s v="Desktop"/>
  </r>
  <r>
    <n v="59"/>
    <d v="2025-01-15T00:00:00"/>
    <x v="9"/>
    <s v="Wednesday"/>
    <n v="7"/>
    <s v="Morning"/>
    <x v="31"/>
    <x v="13"/>
    <s v="Gul"/>
    <x v="5"/>
    <s v="Hindi"/>
    <x v="57"/>
    <n v="4"/>
    <n v="2222.6999999999998"/>
    <s v="Web Player"/>
  </r>
  <r>
    <n v="60"/>
    <d v="2025-11-02T00:00:00"/>
    <x v="8"/>
    <s v="Sunday"/>
    <n v="19"/>
    <s v="Evening"/>
    <x v="33"/>
    <x v="0"/>
    <s v="Jawan"/>
    <x v="0"/>
    <s v="Hindi"/>
    <x v="58"/>
    <n v="4"/>
    <n v="8088.2"/>
    <s v="Web Player"/>
  </r>
  <r>
    <n v="61"/>
    <d v="2025-09-19T00:00:00"/>
    <x v="10"/>
    <s v="Friday"/>
    <n v="14"/>
    <s v="Afternoon"/>
    <x v="14"/>
    <x v="8"/>
    <s v="Hollywood's Bleeding"/>
    <x v="3"/>
    <s v="English"/>
    <x v="59"/>
    <n v="4"/>
    <n v="3137.9"/>
    <s v="iOS"/>
  </r>
  <r>
    <n v="62"/>
    <d v="2025-12-29T00:00:00"/>
    <x v="11"/>
    <s v="Monday"/>
    <n v="17"/>
    <s v="Evening"/>
    <x v="2"/>
    <x v="0"/>
    <s v="Brahmastra"/>
    <x v="0"/>
    <s v="Hindi"/>
    <x v="60"/>
    <n v="2"/>
    <n v="5078.3"/>
    <s v="iOS"/>
  </r>
  <r>
    <n v="63"/>
    <d v="2025-02-05T00:00:00"/>
    <x v="0"/>
    <s v="Wednesday"/>
    <n v="15"/>
    <s v="Afternoon"/>
    <x v="24"/>
    <x v="1"/>
    <s v="G.O.A.T."/>
    <x v="1"/>
    <s v="Punjabi"/>
    <x v="61"/>
    <n v="4"/>
    <n v="6076.5"/>
    <s v="Android"/>
  </r>
  <r>
    <n v="64"/>
    <d v="2025-06-08T00:00:00"/>
    <x v="6"/>
    <s v="Sunday"/>
    <n v="23"/>
    <s v="Night"/>
    <x v="34"/>
    <x v="10"/>
    <s v="Starboy"/>
    <x v="2"/>
    <s v="English"/>
    <x v="62"/>
    <n v="4"/>
    <n v="6815.2"/>
    <s v="Web Player"/>
  </r>
  <r>
    <n v="65"/>
    <d v="2025-04-09T00:00:00"/>
    <x v="2"/>
    <s v="Wednesday"/>
    <n v="15"/>
    <s v="Afternoon"/>
    <x v="35"/>
    <x v="0"/>
    <s v="Animal"/>
    <x v="0"/>
    <s v="Hindi"/>
    <x v="63"/>
    <n v="4"/>
    <n v="8010.9"/>
    <s v="iOS"/>
  </r>
  <r>
    <n v="66"/>
    <d v="2025-10-08T00:00:00"/>
    <x v="1"/>
    <s v="Wednesday"/>
    <n v="16"/>
    <s v="Afternoon"/>
    <x v="25"/>
    <x v="6"/>
    <s v="With You"/>
    <x v="1"/>
    <s v="Punjabi"/>
    <x v="64"/>
    <n v="4"/>
    <n v="837.7"/>
    <s v="Desktop"/>
  </r>
  <r>
    <n v="67"/>
    <d v="2025-08-15T00:00:00"/>
    <x v="3"/>
    <s v="Friday"/>
    <n v="8"/>
    <s v="Morning"/>
    <x v="6"/>
    <x v="3"/>
    <s v="Bad Newz"/>
    <x v="0"/>
    <s v="Punjabi"/>
    <x v="65"/>
    <n v="3"/>
    <n v="6709.1"/>
    <s v="iOS"/>
  </r>
  <r>
    <n v="68"/>
    <d v="2025-09-21T00:00:00"/>
    <x v="10"/>
    <s v="Sunday"/>
    <n v="15"/>
    <s v="Afternoon"/>
    <x v="36"/>
    <x v="14"/>
    <s v="Champagne Talk"/>
    <x v="0"/>
    <s v="Hindi"/>
    <x v="66"/>
    <n v="4"/>
    <n v="9166.1"/>
    <s v="iOS"/>
  </r>
  <r>
    <n v="69"/>
    <d v="2025-04-12T00:00:00"/>
    <x v="2"/>
    <s v="Saturday"/>
    <n v="8"/>
    <s v="Morning"/>
    <x v="8"/>
    <x v="5"/>
    <s v="Aashiqui 2"/>
    <x v="0"/>
    <s v="Hindi"/>
    <x v="67"/>
    <n v="3"/>
    <n v="1883.6"/>
    <s v="Desktop"/>
  </r>
  <r>
    <n v="70"/>
    <d v="2025-08-01T00:00:00"/>
    <x v="3"/>
    <s v="Friday"/>
    <n v="21"/>
    <s v="Night"/>
    <x v="6"/>
    <x v="3"/>
    <s v="Bad Newz"/>
    <x v="0"/>
    <s v="Punjabi"/>
    <x v="68"/>
    <n v="5"/>
    <n v="11698.8"/>
    <s v="Desktop"/>
  </r>
  <r>
    <n v="71"/>
    <d v="2025-05-05T00:00:00"/>
    <x v="5"/>
    <s v="Monday"/>
    <n v="19"/>
    <s v="Evening"/>
    <x v="25"/>
    <x v="6"/>
    <s v="With You"/>
    <x v="1"/>
    <s v="Punjabi"/>
    <x v="69"/>
    <n v="2"/>
    <n v="2385.1"/>
    <s v="Android"/>
  </r>
  <r>
    <n v="72"/>
    <d v="2025-04-01T00:00:00"/>
    <x v="2"/>
    <s v="Tuesday"/>
    <n v="9"/>
    <s v="Morning"/>
    <x v="8"/>
    <x v="5"/>
    <s v="Aashiqui 2"/>
    <x v="0"/>
    <s v="Hindi"/>
    <x v="70"/>
    <n v="4"/>
    <n v="8487.6"/>
    <s v="iOS"/>
  </r>
  <r>
    <n v="73"/>
    <d v="2025-03-10T00:00:00"/>
    <x v="7"/>
    <s v="Monday"/>
    <n v="20"/>
    <s v="Evening"/>
    <x v="6"/>
    <x v="3"/>
    <s v="Bad Newz"/>
    <x v="0"/>
    <s v="Punjabi"/>
    <x v="71"/>
    <n v="5"/>
    <n v="10866.3"/>
    <s v="Web Player"/>
  </r>
  <r>
    <n v="74"/>
    <d v="2025-09-16T00:00:00"/>
    <x v="10"/>
    <s v="Tuesday"/>
    <n v="21"/>
    <s v="Night"/>
    <x v="28"/>
    <x v="9"/>
    <s v="Justice"/>
    <x v="2"/>
    <s v="English"/>
    <x v="72"/>
    <n v="5"/>
    <n v="8764.2000000000007"/>
    <s v="iOS"/>
  </r>
  <r>
    <n v="75"/>
    <d v="2025-05-13T00:00:00"/>
    <x v="5"/>
    <s v="Tuesday"/>
    <n v="13"/>
    <s v="Afternoon"/>
    <x v="37"/>
    <x v="3"/>
    <s v="Making Memories"/>
    <x v="1"/>
    <s v="Punjabi"/>
    <x v="73"/>
    <n v="4"/>
    <n v="4736.3"/>
    <s v="Desktop"/>
  </r>
  <r>
    <n v="76"/>
    <d v="2025-08-14T00:00:00"/>
    <x v="3"/>
    <s v="Thursday"/>
    <n v="16"/>
    <s v="Afternoon"/>
    <x v="32"/>
    <x v="7"/>
    <s v="Humnava Mere"/>
    <x v="0"/>
    <s v="Hindi"/>
    <x v="74"/>
    <n v="4"/>
    <n v="1830.3"/>
    <s v="Web Player"/>
  </r>
  <r>
    <n v="77"/>
    <d v="2025-02-11T00:00:00"/>
    <x v="0"/>
    <s v="Tuesday"/>
    <n v="12"/>
    <s v="Afternoon"/>
    <x v="10"/>
    <x v="4"/>
    <s v="Divide"/>
    <x v="2"/>
    <s v="English"/>
    <x v="14"/>
    <n v="3"/>
    <n v="2259.9"/>
    <s v="iOS"/>
  </r>
  <r>
    <n v="78"/>
    <d v="2025-08-01T00:00:00"/>
    <x v="3"/>
    <s v="Friday"/>
    <n v="7"/>
    <s v="Morning"/>
    <x v="27"/>
    <x v="0"/>
    <s v="Rocky Aur Rani Kii Prem Kahaani"/>
    <x v="0"/>
    <s v="Hindi"/>
    <x v="75"/>
    <n v="4"/>
    <n v="7132.9"/>
    <s v="Desktop"/>
  </r>
  <r>
    <n v="79"/>
    <d v="2025-08-04T00:00:00"/>
    <x v="3"/>
    <s v="Monday"/>
    <n v="18"/>
    <s v="Evening"/>
    <x v="29"/>
    <x v="5"/>
    <s v="Happy New Year"/>
    <x v="0"/>
    <s v="Hindi"/>
    <x v="76"/>
    <n v="5"/>
    <n v="9624"/>
    <s v="Android"/>
  </r>
  <r>
    <n v="80"/>
    <d v="2025-01-04T00:00:00"/>
    <x v="9"/>
    <s v="Saturday"/>
    <n v="23"/>
    <s v="Night"/>
    <x v="23"/>
    <x v="10"/>
    <s v="After Hours"/>
    <x v="4"/>
    <s v="English"/>
    <x v="77"/>
    <n v="4"/>
    <n v="6475.3"/>
    <s v="Desktop"/>
  </r>
  <r>
    <n v="81"/>
    <d v="2025-11-05T00:00:00"/>
    <x v="8"/>
    <s v="Wednesday"/>
    <n v="21"/>
    <s v="Night"/>
    <x v="10"/>
    <x v="4"/>
    <s v="Divide"/>
    <x v="2"/>
    <s v="English"/>
    <x v="78"/>
    <n v="4"/>
    <n v="4464.8"/>
    <s v="Desktop"/>
  </r>
  <r>
    <n v="82"/>
    <d v="2025-07-19T00:00:00"/>
    <x v="4"/>
    <s v="Saturday"/>
    <n v="10"/>
    <s v="Morning"/>
    <x v="1"/>
    <x v="0"/>
    <s v="Bhediya"/>
    <x v="0"/>
    <s v="Hindi"/>
    <x v="79"/>
    <n v="4"/>
    <n v="6842.9"/>
    <s v="Desktop"/>
  </r>
  <r>
    <n v="83"/>
    <d v="2025-10-01T00:00:00"/>
    <x v="1"/>
    <s v="Wednesday"/>
    <n v="8"/>
    <s v="Morning"/>
    <x v="28"/>
    <x v="9"/>
    <s v="Justice"/>
    <x v="2"/>
    <s v="English"/>
    <x v="80"/>
    <n v="4"/>
    <n v="1441.9"/>
    <s v="Android"/>
  </r>
  <r>
    <n v="84"/>
    <d v="2025-08-08T00:00:00"/>
    <x v="3"/>
    <s v="Friday"/>
    <n v="18"/>
    <s v="Evening"/>
    <x v="38"/>
    <x v="12"/>
    <s v="Barbie: The Album"/>
    <x v="2"/>
    <s v="English"/>
    <x v="81"/>
    <n v="4"/>
    <n v="3016.1"/>
    <s v="Web Player"/>
  </r>
  <r>
    <n v="85"/>
    <d v="2025-04-19T00:00:00"/>
    <x v="2"/>
    <s v="Saturday"/>
    <n v="14"/>
    <s v="Afternoon"/>
    <x v="39"/>
    <x v="13"/>
    <s v="Husn"/>
    <x v="5"/>
    <s v="Hindi"/>
    <x v="82"/>
    <n v="4"/>
    <n v="7335.7"/>
    <s v="Desktop"/>
  </r>
  <r>
    <n v="86"/>
    <d v="2025-05-10T00:00:00"/>
    <x v="5"/>
    <s v="Saturday"/>
    <n v="17"/>
    <s v="Evening"/>
    <x v="3"/>
    <x v="1"/>
    <s v="G.O.A.T."/>
    <x v="1"/>
    <s v="Punjabi"/>
    <x v="83"/>
    <n v="4"/>
    <n v="2085.4"/>
    <s v="Android"/>
  </r>
  <r>
    <n v="87"/>
    <d v="2025-11-29T00:00:00"/>
    <x v="8"/>
    <s v="Saturday"/>
    <n v="12"/>
    <s v="Afternoon"/>
    <x v="8"/>
    <x v="5"/>
    <s v="Aashiqui 2"/>
    <x v="0"/>
    <s v="Hindi"/>
    <x v="84"/>
    <n v="3"/>
    <n v="1499.9"/>
    <s v="iOS"/>
  </r>
  <r>
    <n v="88"/>
    <d v="2025-11-15T00:00:00"/>
    <x v="8"/>
    <s v="Saturday"/>
    <n v="12"/>
    <s v="Afternoon"/>
    <x v="1"/>
    <x v="0"/>
    <s v="Bhediya"/>
    <x v="0"/>
    <s v="Hindi"/>
    <x v="85"/>
    <n v="3"/>
    <n v="2588"/>
    <s v="Android"/>
  </r>
  <r>
    <n v="89"/>
    <d v="2025-12-25T00:00:00"/>
    <x v="11"/>
    <s v="Thursday"/>
    <n v="11"/>
    <s v="Morning"/>
    <x v="6"/>
    <x v="3"/>
    <s v="Bad Newz"/>
    <x v="0"/>
    <s v="Punjabi"/>
    <x v="86"/>
    <n v="4"/>
    <n v="4447.2"/>
    <s v="Android"/>
  </r>
  <r>
    <n v="90"/>
    <d v="2025-02-25T00:00:00"/>
    <x v="0"/>
    <s v="Tuesday"/>
    <n v="18"/>
    <s v="Evening"/>
    <x v="18"/>
    <x v="11"/>
    <s v="Heeriye"/>
    <x v="0"/>
    <s v="Hindi"/>
    <x v="87"/>
    <n v="3"/>
    <n v="7599.5"/>
    <s v="Desktop"/>
  </r>
  <r>
    <n v="91"/>
    <d v="2025-02-08T00:00:00"/>
    <x v="0"/>
    <s v="Saturday"/>
    <n v="9"/>
    <s v="Morning"/>
    <x v="40"/>
    <x v="5"/>
    <s v="Shor in the City"/>
    <x v="0"/>
    <s v="Hindi"/>
    <x v="88"/>
    <n v="3"/>
    <n v="7887.6"/>
    <s v="Web Player"/>
  </r>
  <r>
    <n v="92"/>
    <d v="2025-01-22T00:00:00"/>
    <x v="9"/>
    <s v="Wednesday"/>
    <n v="8"/>
    <s v="Morning"/>
    <x v="7"/>
    <x v="4"/>
    <s v="X"/>
    <x v="2"/>
    <s v="English"/>
    <x v="89"/>
    <n v="5"/>
    <n v="7205.2"/>
    <s v="Web Player"/>
  </r>
  <r>
    <n v="93"/>
    <d v="2025-11-28T00:00:00"/>
    <x v="8"/>
    <s v="Friday"/>
    <n v="9"/>
    <s v="Morning"/>
    <x v="34"/>
    <x v="10"/>
    <s v="Starboy"/>
    <x v="2"/>
    <s v="English"/>
    <x v="90"/>
    <n v="2"/>
    <n v="4597.3"/>
    <s v="Desktop"/>
  </r>
  <r>
    <n v="94"/>
    <d v="2025-07-05T00:00:00"/>
    <x v="4"/>
    <s v="Saturday"/>
    <n v="11"/>
    <s v="Morning"/>
    <x v="24"/>
    <x v="1"/>
    <s v="G.O.A.T."/>
    <x v="1"/>
    <s v="Punjabi"/>
    <x v="91"/>
    <n v="4"/>
    <n v="12550.3"/>
    <s v="Desktop"/>
  </r>
  <r>
    <n v="95"/>
    <d v="2025-11-30T00:00:00"/>
    <x v="8"/>
    <s v="Sunday"/>
    <n v="19"/>
    <s v="Evening"/>
    <x v="17"/>
    <x v="10"/>
    <s v="After Hours"/>
    <x v="2"/>
    <s v="English"/>
    <x v="92"/>
    <n v="5"/>
    <n v="6497"/>
    <s v="Desktop"/>
  </r>
  <r>
    <n v="96"/>
    <d v="2025-05-18T00:00:00"/>
    <x v="5"/>
    <s v="Sunday"/>
    <n v="14"/>
    <s v="Afternoon"/>
    <x v="21"/>
    <x v="8"/>
    <s v="Spider-Man: Into the Spider-Verse"/>
    <x v="3"/>
    <s v="English"/>
    <x v="93"/>
    <n v="3"/>
    <n v="5804.5"/>
    <s v="Android"/>
  </r>
  <r>
    <n v="97"/>
    <d v="2025-05-05T00:00:00"/>
    <x v="5"/>
    <s v="Monday"/>
    <n v="16"/>
    <s v="Afternoon"/>
    <x v="37"/>
    <x v="3"/>
    <s v="Making Memories"/>
    <x v="1"/>
    <s v="Punjabi"/>
    <x v="71"/>
    <n v="5"/>
    <n v="10089.700000000001"/>
    <s v="Desktop"/>
  </r>
  <r>
    <n v="98"/>
    <d v="2025-09-11T00:00:00"/>
    <x v="10"/>
    <s v="Thursday"/>
    <n v="14"/>
    <s v="Afternoon"/>
    <x v="1"/>
    <x v="0"/>
    <s v="Bhediya"/>
    <x v="0"/>
    <s v="Hindi"/>
    <x v="94"/>
    <n v="3"/>
    <n v="4931"/>
    <s v="Web Player"/>
  </r>
  <r>
    <n v="99"/>
    <d v="2025-05-24T00:00:00"/>
    <x v="5"/>
    <s v="Saturday"/>
    <n v="8"/>
    <s v="Morning"/>
    <x v="31"/>
    <x v="13"/>
    <s v="Gul"/>
    <x v="5"/>
    <s v="Hindi"/>
    <x v="95"/>
    <n v="4"/>
    <n v="9499.4"/>
    <s v="iOS"/>
  </r>
  <r>
    <n v="100"/>
    <d v="2025-07-28T00:00:00"/>
    <x v="4"/>
    <s v="Monday"/>
    <n v="21"/>
    <s v="Night"/>
    <x v="30"/>
    <x v="7"/>
    <s v="Shershaah"/>
    <x v="0"/>
    <s v="Hindi"/>
    <x v="96"/>
    <n v="5"/>
    <n v="10907.1"/>
    <s v="Deskto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183553-CF09-456F-ACB0-26D65D035A3B}"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5:L12" firstHeaderRow="1" firstDataRow="1" firstDataCol="1"/>
  <pivotFields count="15">
    <pivotField showAll="0"/>
    <pivotField numFmtId="164" showAll="0"/>
    <pivotField showAll="0"/>
    <pivotField showAll="0"/>
    <pivotField showAll="0"/>
    <pivotField showAll="0"/>
    <pivotField showAll="0"/>
    <pivotField showAll="0"/>
    <pivotField showAll="0"/>
    <pivotField axis="axisRow" showAll="0">
      <items count="7">
        <item x="0"/>
        <item x="3"/>
        <item x="5"/>
        <item x="2"/>
        <item x="1"/>
        <item x="4"/>
        <item t="default"/>
      </items>
    </pivotField>
    <pivotField showAll="0"/>
    <pivotField showAll="0">
      <items count="98">
        <item x="64"/>
        <item x="35"/>
        <item x="80"/>
        <item x="27"/>
        <item x="11"/>
        <item x="33"/>
        <item x="21"/>
        <item x="39"/>
        <item x="84"/>
        <item x="7"/>
        <item x="42"/>
        <item x="50"/>
        <item x="74"/>
        <item x="83"/>
        <item x="5"/>
        <item x="46"/>
        <item x="31"/>
        <item x="57"/>
        <item x="59"/>
        <item x="25"/>
        <item x="6"/>
        <item x="51"/>
        <item x="81"/>
        <item x="14"/>
        <item x="67"/>
        <item x="69"/>
        <item x="85"/>
        <item x="15"/>
        <item x="49"/>
        <item x="10"/>
        <item x="53"/>
        <item x="29"/>
        <item x="9"/>
        <item x="12"/>
        <item x="28"/>
        <item x="78"/>
        <item x="54"/>
        <item x="55"/>
        <item x="26"/>
        <item x="13"/>
        <item x="73"/>
        <item x="52"/>
        <item x="86"/>
        <item x="18"/>
        <item x="17"/>
        <item x="92"/>
        <item x="32"/>
        <item x="56"/>
        <item x="44"/>
        <item x="24"/>
        <item x="41"/>
        <item x="93"/>
        <item x="94"/>
        <item x="61"/>
        <item x="79"/>
        <item x="4"/>
        <item x="90"/>
        <item x="89"/>
        <item x="77"/>
        <item x="8"/>
        <item x="76"/>
        <item x="75"/>
        <item x="62"/>
        <item x="40"/>
        <item x="63"/>
        <item x="48"/>
        <item x="72"/>
        <item x="58"/>
        <item x="60"/>
        <item x="65"/>
        <item x="3"/>
        <item x="82"/>
        <item x="2"/>
        <item x="71"/>
        <item x="30"/>
        <item x="34"/>
        <item x="96"/>
        <item x="38"/>
        <item x="43"/>
        <item x="70"/>
        <item x="23"/>
        <item x="16"/>
        <item x="22"/>
        <item x="1"/>
        <item x="37"/>
        <item x="45"/>
        <item x="36"/>
        <item x="87"/>
        <item x="88"/>
        <item x="95"/>
        <item x="20"/>
        <item x="19"/>
        <item x="0"/>
        <item x="68"/>
        <item x="66"/>
        <item x="47"/>
        <item x="91"/>
        <item t="default"/>
      </items>
    </pivotField>
    <pivotField showAll="0"/>
    <pivotField dataField="1" showAll="0"/>
    <pivotField showAll="0"/>
  </pivotFields>
  <rowFields count="1">
    <field x="9"/>
  </rowFields>
  <rowItems count="7">
    <i>
      <x/>
    </i>
    <i>
      <x v="1"/>
    </i>
    <i>
      <x v="2"/>
    </i>
    <i>
      <x v="3"/>
    </i>
    <i>
      <x v="4"/>
    </i>
    <i>
      <x v="5"/>
    </i>
    <i t="grand">
      <x/>
    </i>
  </rowItems>
  <colItems count="1">
    <i/>
  </colItems>
  <dataFields count="1">
    <dataField name="Sum of Listening Minutes" fld="13"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4"/>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 chart="0" format="4">
      <pivotArea type="data" outline="0" fieldPosition="0">
        <references count="2">
          <reference field="4294967294" count="1" selected="0">
            <x v="0"/>
          </reference>
          <reference field="9" count="1" selected="0">
            <x v="5"/>
          </reference>
        </references>
      </pivotArea>
    </chartFormat>
    <chartFormat chart="0" format="5">
      <pivotArea type="data" outline="0" fieldPosition="0">
        <references count="2">
          <reference field="4294967294" count="1" selected="0">
            <x v="0"/>
          </reference>
          <reference field="9" count="1" selected="0">
            <x v="1"/>
          </reference>
        </references>
      </pivotArea>
    </chartFormat>
    <chartFormat chart="0" format="6">
      <pivotArea type="data" outline="0" fieldPosition="0">
        <references count="2">
          <reference field="4294967294" count="1" selected="0">
            <x v="0"/>
          </reference>
          <reference field="9" count="1" selected="0">
            <x v="2"/>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9" count="1" selected="0">
            <x v="0"/>
          </reference>
        </references>
      </pivotArea>
    </chartFormat>
    <chartFormat chart="2" format="16">
      <pivotArea type="data" outline="0" fieldPosition="0">
        <references count="2">
          <reference field="4294967294" count="1" selected="0">
            <x v="0"/>
          </reference>
          <reference field="9" count="1" selected="0">
            <x v="1"/>
          </reference>
        </references>
      </pivotArea>
    </chartFormat>
    <chartFormat chart="2" format="17">
      <pivotArea type="data" outline="0" fieldPosition="0">
        <references count="2">
          <reference field="4294967294" count="1" selected="0">
            <x v="0"/>
          </reference>
          <reference field="9" count="1" selected="0">
            <x v="2"/>
          </reference>
        </references>
      </pivotArea>
    </chartFormat>
    <chartFormat chart="2" format="18">
      <pivotArea type="data" outline="0" fieldPosition="0">
        <references count="2">
          <reference field="4294967294" count="1" selected="0">
            <x v="0"/>
          </reference>
          <reference field="9" count="1" selected="0">
            <x v="3"/>
          </reference>
        </references>
      </pivotArea>
    </chartFormat>
    <chartFormat chart="2" format="19">
      <pivotArea type="data" outline="0" fieldPosition="0">
        <references count="2">
          <reference field="4294967294" count="1" selected="0">
            <x v="0"/>
          </reference>
          <reference field="9" count="1" selected="0">
            <x v="4"/>
          </reference>
        </references>
      </pivotArea>
    </chartFormat>
    <chartFormat chart="2" format="20">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FA730A-CBCB-4BF7-9BA9-8F6882CB4248}"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6:H37" firstHeaderRow="1" firstDataRow="1" firstDataCol="1"/>
  <pivotFields count="15">
    <pivotField showAll="0"/>
    <pivotField numFmtId="164" showAll="0"/>
    <pivotField showAll="0"/>
    <pivotField showAll="0"/>
    <pivotField showAll="0"/>
    <pivotField showAll="0"/>
    <pivotField showAll="0"/>
    <pivotField axis="axisRow" showAll="0" measureFilter="1">
      <items count="16">
        <item x="13"/>
        <item x="6"/>
        <item x="0"/>
        <item x="12"/>
        <item x="1"/>
        <item x="2"/>
        <item x="4"/>
        <item x="11"/>
        <item x="7"/>
        <item x="9"/>
        <item x="3"/>
        <item x="14"/>
        <item x="8"/>
        <item x="5"/>
        <item x="10"/>
        <item t="default"/>
      </items>
    </pivotField>
    <pivotField showAll="0"/>
    <pivotField showAll="0"/>
    <pivotField showAll="0"/>
    <pivotField dataField="1" showAll="0">
      <items count="98">
        <item x="64"/>
        <item x="35"/>
        <item x="80"/>
        <item x="27"/>
        <item x="11"/>
        <item x="33"/>
        <item x="21"/>
        <item x="39"/>
        <item x="84"/>
        <item x="7"/>
        <item x="42"/>
        <item x="50"/>
        <item x="74"/>
        <item x="83"/>
        <item x="5"/>
        <item x="46"/>
        <item x="31"/>
        <item x="57"/>
        <item x="59"/>
        <item x="25"/>
        <item x="6"/>
        <item x="51"/>
        <item x="81"/>
        <item x="14"/>
        <item x="67"/>
        <item x="69"/>
        <item x="85"/>
        <item x="15"/>
        <item x="49"/>
        <item x="10"/>
        <item x="53"/>
        <item x="29"/>
        <item x="9"/>
        <item x="12"/>
        <item x="28"/>
        <item x="78"/>
        <item x="54"/>
        <item x="55"/>
        <item x="26"/>
        <item x="13"/>
        <item x="73"/>
        <item x="52"/>
        <item x="86"/>
        <item x="18"/>
        <item x="17"/>
        <item x="92"/>
        <item x="32"/>
        <item x="56"/>
        <item x="44"/>
        <item x="24"/>
        <item x="41"/>
        <item x="93"/>
        <item x="94"/>
        <item x="61"/>
        <item x="79"/>
        <item x="4"/>
        <item x="90"/>
        <item x="89"/>
        <item x="77"/>
        <item x="8"/>
        <item x="76"/>
        <item x="75"/>
        <item x="62"/>
        <item x="40"/>
        <item x="63"/>
        <item x="48"/>
        <item x="72"/>
        <item x="58"/>
        <item x="60"/>
        <item x="65"/>
        <item x="3"/>
        <item x="82"/>
        <item x="2"/>
        <item x="71"/>
        <item x="30"/>
        <item x="34"/>
        <item x="96"/>
        <item x="38"/>
        <item x="43"/>
        <item x="70"/>
        <item x="23"/>
        <item x="16"/>
        <item x="22"/>
        <item x="1"/>
        <item x="37"/>
        <item x="45"/>
        <item x="36"/>
        <item x="87"/>
        <item x="88"/>
        <item x="95"/>
        <item x="20"/>
        <item x="19"/>
        <item x="0"/>
        <item x="68"/>
        <item x="66"/>
        <item x="47"/>
        <item x="91"/>
        <item t="default"/>
      </items>
    </pivotField>
    <pivotField showAll="0"/>
    <pivotField showAll="0"/>
    <pivotField showAll="0"/>
  </pivotFields>
  <rowFields count="1">
    <field x="7"/>
  </rowFields>
  <rowItems count="11">
    <i>
      <x/>
    </i>
    <i>
      <x v="2"/>
    </i>
    <i>
      <x v="4"/>
    </i>
    <i>
      <x v="6"/>
    </i>
    <i>
      <x v="8"/>
    </i>
    <i>
      <x v="9"/>
    </i>
    <i>
      <x v="10"/>
    </i>
    <i>
      <x v="12"/>
    </i>
    <i>
      <x v="13"/>
    </i>
    <i>
      <x v="14"/>
    </i>
    <i t="grand">
      <x/>
    </i>
  </rowItems>
  <colItems count="1">
    <i/>
  </colItems>
  <dataFields count="1">
    <dataField name="Sum of Play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C86BD4-C49E-452F-82B1-1360C1DA1556}"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7:E18" firstHeaderRow="1" firstDataRow="1" firstDataCol="1"/>
  <pivotFields count="15">
    <pivotField showAll="0"/>
    <pivotField numFmtId="164" showAll="0"/>
    <pivotField showAll="0"/>
    <pivotField showAll="0"/>
    <pivotField showAll="0"/>
    <pivotField showAll="0"/>
    <pivotField axis="axisRow" showAll="0" measureFilter="1">
      <items count="42">
        <item x="23"/>
        <item x="5"/>
        <item x="1"/>
        <item x="19"/>
        <item x="3"/>
        <item x="33"/>
        <item x="14"/>
        <item x="9"/>
        <item x="31"/>
        <item x="18"/>
        <item x="32"/>
        <item x="39"/>
        <item x="2"/>
        <item x="15"/>
        <item x="16"/>
        <item x="22"/>
        <item x="24"/>
        <item x="12"/>
        <item x="36"/>
        <item x="29"/>
        <item x="4"/>
        <item x="13"/>
        <item x="20"/>
        <item x="26"/>
        <item x="7"/>
        <item x="30"/>
        <item x="40"/>
        <item x="35"/>
        <item x="17"/>
        <item x="10"/>
        <item x="37"/>
        <item x="34"/>
        <item x="28"/>
        <item x="8"/>
        <item x="21"/>
        <item x="6"/>
        <item x="0"/>
        <item x="11"/>
        <item x="27"/>
        <item x="38"/>
        <item x="25"/>
        <item t="default"/>
      </items>
    </pivotField>
    <pivotField showAll="0"/>
    <pivotField showAll="0"/>
    <pivotField showAll="0"/>
    <pivotField showAll="0"/>
    <pivotField dataField="1" showAll="0">
      <items count="98">
        <item x="64"/>
        <item x="35"/>
        <item x="80"/>
        <item x="27"/>
        <item x="11"/>
        <item x="33"/>
        <item x="21"/>
        <item x="39"/>
        <item x="84"/>
        <item x="7"/>
        <item x="42"/>
        <item x="50"/>
        <item x="74"/>
        <item x="83"/>
        <item x="5"/>
        <item x="46"/>
        <item x="31"/>
        <item x="57"/>
        <item x="59"/>
        <item x="25"/>
        <item x="6"/>
        <item x="51"/>
        <item x="81"/>
        <item x="14"/>
        <item x="67"/>
        <item x="69"/>
        <item x="85"/>
        <item x="15"/>
        <item x="49"/>
        <item x="10"/>
        <item x="53"/>
        <item x="29"/>
        <item x="9"/>
        <item x="12"/>
        <item x="28"/>
        <item x="78"/>
        <item x="54"/>
        <item x="55"/>
        <item x="26"/>
        <item x="13"/>
        <item x="73"/>
        <item x="52"/>
        <item x="86"/>
        <item x="18"/>
        <item x="17"/>
        <item x="92"/>
        <item x="32"/>
        <item x="56"/>
        <item x="44"/>
        <item x="24"/>
        <item x="41"/>
        <item x="93"/>
        <item x="94"/>
        <item x="61"/>
        <item x="79"/>
        <item x="4"/>
        <item x="90"/>
        <item x="89"/>
        <item x="77"/>
        <item x="8"/>
        <item x="76"/>
        <item x="75"/>
        <item x="62"/>
        <item x="40"/>
        <item x="63"/>
        <item x="48"/>
        <item x="72"/>
        <item x="58"/>
        <item x="60"/>
        <item x="65"/>
        <item x="3"/>
        <item x="82"/>
        <item x="2"/>
        <item x="71"/>
        <item x="30"/>
        <item x="34"/>
        <item x="96"/>
        <item x="38"/>
        <item x="43"/>
        <item x="70"/>
        <item x="23"/>
        <item x="16"/>
        <item x="22"/>
        <item x="1"/>
        <item x="37"/>
        <item x="45"/>
        <item x="36"/>
        <item x="87"/>
        <item x="88"/>
        <item x="95"/>
        <item x="20"/>
        <item x="19"/>
        <item x="0"/>
        <item x="68"/>
        <item x="66"/>
        <item x="47"/>
        <item x="91"/>
        <item t="default"/>
      </items>
    </pivotField>
    <pivotField showAll="0"/>
    <pivotField showAll="0"/>
    <pivotField showAll="0"/>
  </pivotFields>
  <rowFields count="1">
    <field x="6"/>
  </rowFields>
  <rowItems count="11">
    <i>
      <x v="2"/>
    </i>
    <i>
      <x v="8"/>
    </i>
    <i>
      <x v="12"/>
    </i>
    <i>
      <x v="16"/>
    </i>
    <i>
      <x v="22"/>
    </i>
    <i>
      <x v="29"/>
    </i>
    <i>
      <x v="33"/>
    </i>
    <i>
      <x v="34"/>
    </i>
    <i>
      <x v="35"/>
    </i>
    <i>
      <x v="36"/>
    </i>
    <i t="grand">
      <x/>
    </i>
  </rowItems>
  <colItems count="1">
    <i/>
  </colItems>
  <dataFields count="1">
    <dataField name="Sum of Play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B5CDCE-F83F-405A-AEC5-8B31B0293D14}"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5" firstHeaderRow="1" firstDataRow="1" firstDataCol="1"/>
  <pivotFields count="15">
    <pivotField showAll="0"/>
    <pivotField numFmtId="164" showAll="0"/>
    <pivotField axis="axisRow" showAll="0">
      <items count="13">
        <item x="9"/>
        <item x="0"/>
        <item x="7"/>
        <item x="2"/>
        <item x="5"/>
        <item x="6"/>
        <item x="4"/>
        <item x="3"/>
        <item x="10"/>
        <item x="1"/>
        <item x="8"/>
        <item x="11"/>
        <item t="default"/>
      </items>
    </pivotField>
    <pivotField showAll="0"/>
    <pivotField showAll="0"/>
    <pivotField showAll="0"/>
    <pivotField showAll="0"/>
    <pivotField showAll="0"/>
    <pivotField showAll="0"/>
    <pivotField showAll="0"/>
    <pivotField showAll="0"/>
    <pivotField showAll="0">
      <items count="98">
        <item x="64"/>
        <item x="35"/>
        <item x="80"/>
        <item x="27"/>
        <item x="11"/>
        <item x="33"/>
        <item x="21"/>
        <item x="39"/>
        <item x="84"/>
        <item x="7"/>
        <item x="42"/>
        <item x="50"/>
        <item x="74"/>
        <item x="83"/>
        <item x="5"/>
        <item x="46"/>
        <item x="31"/>
        <item x="57"/>
        <item x="59"/>
        <item x="25"/>
        <item x="6"/>
        <item x="51"/>
        <item x="81"/>
        <item x="14"/>
        <item x="67"/>
        <item x="69"/>
        <item x="85"/>
        <item x="15"/>
        <item x="49"/>
        <item x="10"/>
        <item x="53"/>
        <item x="29"/>
        <item x="9"/>
        <item x="12"/>
        <item x="28"/>
        <item x="78"/>
        <item x="54"/>
        <item x="55"/>
        <item x="26"/>
        <item x="13"/>
        <item x="73"/>
        <item x="52"/>
        <item x="86"/>
        <item x="18"/>
        <item x="17"/>
        <item x="92"/>
        <item x="32"/>
        <item x="56"/>
        <item x="44"/>
        <item x="24"/>
        <item x="41"/>
        <item x="93"/>
        <item x="94"/>
        <item x="61"/>
        <item x="79"/>
        <item x="4"/>
        <item x="90"/>
        <item x="89"/>
        <item x="77"/>
        <item x="8"/>
        <item x="76"/>
        <item x="75"/>
        <item x="62"/>
        <item x="40"/>
        <item x="63"/>
        <item x="48"/>
        <item x="72"/>
        <item x="58"/>
        <item x="60"/>
        <item x="65"/>
        <item x="3"/>
        <item x="82"/>
        <item x="2"/>
        <item x="71"/>
        <item x="30"/>
        <item x="34"/>
        <item x="96"/>
        <item x="38"/>
        <item x="43"/>
        <item x="70"/>
        <item x="23"/>
        <item x="16"/>
        <item x="22"/>
        <item x="1"/>
        <item x="37"/>
        <item x="45"/>
        <item x="36"/>
        <item x="87"/>
        <item x="88"/>
        <item x="95"/>
        <item x="20"/>
        <item x="19"/>
        <item x="0"/>
        <item x="68"/>
        <item x="66"/>
        <item x="47"/>
        <item x="91"/>
        <item t="default"/>
      </items>
    </pivotField>
    <pivotField showAll="0"/>
    <pivotField dataField="1"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Listening Minutes" fld="13"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s" xr10:uid="{18055EBE-BA40-4760-81D6-C8BF706CD5B9}" sourceName="Plays">
  <pivotTables>
    <pivotTable tabId="2" name="PivotTable2"/>
    <pivotTable tabId="2" name="PivotTable1"/>
    <pivotTable tabId="2" name="PivotTable3"/>
    <pivotTable tabId="2" name="PivotTable4"/>
  </pivotTables>
  <data>
    <tabular pivotCacheId="142034990">
      <items count="97">
        <i x="64" s="1"/>
        <i x="35" s="1"/>
        <i x="80" s="1"/>
        <i x="27" s="1"/>
        <i x="11" s="1"/>
        <i x="33" s="1"/>
        <i x="21" s="1"/>
        <i x="39" s="1"/>
        <i x="84" s="1"/>
        <i x="7" s="1"/>
        <i x="42" s="1"/>
        <i x="50" s="1"/>
        <i x="74" s="1"/>
        <i x="83" s="1"/>
        <i x="5" s="1"/>
        <i x="46" s="1"/>
        <i x="31" s="1"/>
        <i x="57" s="1"/>
        <i x="59" s="1"/>
        <i x="25" s="1"/>
        <i x="6" s="1"/>
        <i x="51" s="1"/>
        <i x="81" s="1"/>
        <i x="14" s="1"/>
        <i x="67" s="1"/>
        <i x="69" s="1"/>
        <i x="85" s="1"/>
        <i x="15" s="1"/>
        <i x="49" s="1"/>
        <i x="10" s="1"/>
        <i x="53" s="1"/>
        <i x="29" s="1"/>
        <i x="9" s="1"/>
        <i x="12" s="1"/>
        <i x="28" s="1"/>
        <i x="78" s="1"/>
        <i x="54" s="1"/>
        <i x="55" s="1"/>
        <i x="26" s="1"/>
        <i x="13" s="1"/>
        <i x="73" s="1"/>
        <i x="52" s="1"/>
        <i x="86" s="1"/>
        <i x="18" s="1"/>
        <i x="17" s="1"/>
        <i x="92" s="1"/>
        <i x="32" s="1"/>
        <i x="56" s="1"/>
        <i x="44" s="1"/>
        <i x="24" s="1"/>
        <i x="41" s="1"/>
        <i x="93" s="1"/>
        <i x="94" s="1"/>
        <i x="61" s="1"/>
        <i x="79" s="1"/>
        <i x="4" s="1"/>
        <i x="90" s="1"/>
        <i x="89" s="1"/>
        <i x="77" s="1"/>
        <i x="8" s="1"/>
        <i x="76" s="1"/>
        <i x="75" s="1"/>
        <i x="62" s="1"/>
        <i x="40" s="1"/>
        <i x="63" s="1"/>
        <i x="48" s="1"/>
        <i x="72" s="1"/>
        <i x="58" s="1"/>
        <i x="60" s="1"/>
        <i x="65" s="1"/>
        <i x="3" s="1"/>
        <i x="82" s="1"/>
        <i x="2" s="1"/>
        <i x="71" s="1"/>
        <i x="30" s="1"/>
        <i x="34" s="1"/>
        <i x="96" s="1"/>
        <i x="38" s="1"/>
        <i x="43" s="1"/>
        <i x="70" s="1"/>
        <i x="23" s="1"/>
        <i x="16" s="1"/>
        <i x="22" s="1"/>
        <i x="1" s="1"/>
        <i x="37" s="1"/>
        <i x="45" s="1"/>
        <i x="36" s="1"/>
        <i x="87" s="1"/>
        <i x="88" s="1"/>
        <i x="95" s="1"/>
        <i x="20" s="1"/>
        <i x="19" s="1"/>
        <i x="0" s="1"/>
        <i x="68" s="1"/>
        <i x="66" s="1"/>
        <i x="47" s="1"/>
        <i x="9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s" xr10:uid="{E7CC18AE-7399-45A0-A343-D24A233AA095}" cache="Slicer_Plays" caption="Plays" startItem="16"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7F85F5-C8E0-4704-9705-8110ECE49237}" name="Table1" displayName="Table1" ref="A1:O101" totalsRowShown="0" headerRowDxfId="0" headerRowBorderDxfId="2" tableBorderDxfId="3">
  <autoFilter ref="A1:O101" xr:uid="{00000000-0009-0000-0000-000000000000}"/>
  <tableColumns count="15">
    <tableColumn id="1" xr3:uid="{96DEB7D4-AF33-4CCB-B8C5-5DB5E7D7DF62}" name="Track ID"/>
    <tableColumn id="2" xr3:uid="{50624951-7542-4154-BB43-66C8F5C68BCD}" name="Date" dataDxfId="1"/>
    <tableColumn id="3" xr3:uid="{60BAF43B-9F51-45B4-9877-EB3489B7A713}" name="Month"/>
    <tableColumn id="4" xr3:uid="{09565157-FB46-4B1C-8AD1-BB110264DC55}" name="Day"/>
    <tableColumn id="5" xr3:uid="{4A0D9AF6-8285-4351-AFFF-C1A4054DC9B7}" name="Hour"/>
    <tableColumn id="6" xr3:uid="{83EFEFA1-2002-4274-B08F-14FA42502B56}" name="Time Period"/>
    <tableColumn id="7" xr3:uid="{A2001ADF-4A8C-4775-839E-FABFA8443DB8}" name="Song Name"/>
    <tableColumn id="8" xr3:uid="{77DBB273-9288-4F31-8239-BC2B7394FF3C}" name="Artist"/>
    <tableColumn id="9" xr3:uid="{E73B0B92-A0FD-415B-BFF0-E890DF0F3B4E}" name="Album"/>
    <tableColumn id="10" xr3:uid="{CB0601F1-75DB-4174-89C8-985E9DEB2B1B}" name="Genre"/>
    <tableColumn id="11" xr3:uid="{6014A5FB-61CD-4380-9D2B-29FD2C0EC47A}" name="Language"/>
    <tableColumn id="12" xr3:uid="{9D548A95-2C9D-469A-917B-201E905D6600}" name="Plays"/>
    <tableColumn id="13" xr3:uid="{0458946E-52A9-4CFF-A558-4C6E119AF5E4}" name="Duration (min)"/>
    <tableColumn id="14" xr3:uid="{1778C527-8D81-40F6-8B37-2AEE82903361}" name="Listening Minutes"/>
    <tableColumn id="15" xr3:uid="{AC62935C-A4A9-4751-B49D-DA63F734C2FE}" name="Platfor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topLeftCell="F1" workbookViewId="0">
      <pane ySplit="1" topLeftCell="A9" activePane="bottomLeft" state="frozen"/>
      <selection pane="bottomLeft" activeCell="R23" sqref="R23"/>
    </sheetView>
  </sheetViews>
  <sheetFormatPr defaultRowHeight="14.4" x14ac:dyDescent="0.3"/>
  <cols>
    <col min="1" max="1" width="10" customWidth="1"/>
    <col min="2" max="2" width="12" customWidth="1"/>
    <col min="3" max="4" width="11" customWidth="1"/>
    <col min="5" max="5" width="7" customWidth="1"/>
    <col min="6" max="6" width="13" customWidth="1"/>
    <col min="7" max="7" width="30" customWidth="1"/>
    <col min="8" max="8" width="16" customWidth="1"/>
    <col min="9" max="9" width="30" customWidth="1"/>
    <col min="10" max="11" width="11" customWidth="1"/>
    <col min="12" max="12" width="7.21875" customWidth="1"/>
    <col min="13" max="13" width="16" customWidth="1"/>
    <col min="14" max="14" width="19" customWidth="1"/>
    <col min="15" max="15" width="12" customWidth="1"/>
  </cols>
  <sheetData>
    <row r="1" spans="1:17"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7" x14ac:dyDescent="0.3">
      <c r="A2">
        <v>1</v>
      </c>
      <c r="B2" s="1">
        <v>45715</v>
      </c>
      <c r="C2" t="s">
        <v>15</v>
      </c>
      <c r="D2" t="s">
        <v>16</v>
      </c>
      <c r="E2">
        <v>9</v>
      </c>
      <c r="F2" t="s">
        <v>17</v>
      </c>
      <c r="G2" t="s">
        <v>18</v>
      </c>
      <c r="H2" t="s">
        <v>19</v>
      </c>
      <c r="I2" t="s">
        <v>18</v>
      </c>
      <c r="J2" t="s">
        <v>20</v>
      </c>
      <c r="K2" t="s">
        <v>21</v>
      </c>
      <c r="L2">
        <v>2812</v>
      </c>
      <c r="M2">
        <v>4</v>
      </c>
      <c r="N2">
        <v>1126.4000000000001</v>
      </c>
      <c r="O2" t="s">
        <v>22</v>
      </c>
    </row>
    <row r="3" spans="1:17" x14ac:dyDescent="0.3">
      <c r="A3">
        <v>2</v>
      </c>
      <c r="B3" s="1">
        <v>45937</v>
      </c>
      <c r="C3" t="s">
        <v>23</v>
      </c>
      <c r="D3" t="s">
        <v>24</v>
      </c>
      <c r="E3">
        <v>8</v>
      </c>
      <c r="F3" t="s">
        <v>17</v>
      </c>
      <c r="G3" t="s">
        <v>25</v>
      </c>
      <c r="H3" t="s">
        <v>19</v>
      </c>
      <c r="I3" t="s">
        <v>26</v>
      </c>
      <c r="J3" t="s">
        <v>20</v>
      </c>
      <c r="K3" t="s">
        <v>21</v>
      </c>
      <c r="L3">
        <v>2436</v>
      </c>
      <c r="M3">
        <v>5</v>
      </c>
      <c r="N3">
        <v>2731.9</v>
      </c>
      <c r="O3" t="s">
        <v>27</v>
      </c>
    </row>
    <row r="4" spans="1:17" x14ac:dyDescent="0.3">
      <c r="A4">
        <v>3</v>
      </c>
      <c r="B4" s="1">
        <v>45777</v>
      </c>
      <c r="C4" t="s">
        <v>28</v>
      </c>
      <c r="D4" t="s">
        <v>29</v>
      </c>
      <c r="E4">
        <v>23</v>
      </c>
      <c r="F4" t="s">
        <v>30</v>
      </c>
      <c r="G4" t="s">
        <v>31</v>
      </c>
      <c r="H4" t="s">
        <v>19</v>
      </c>
      <c r="I4" t="s">
        <v>32</v>
      </c>
      <c r="J4" t="s">
        <v>20</v>
      </c>
      <c r="K4" t="s">
        <v>21</v>
      </c>
      <c r="L4">
        <v>2128</v>
      </c>
      <c r="M4">
        <v>5</v>
      </c>
      <c r="N4">
        <v>9243.1</v>
      </c>
      <c r="O4" t="s">
        <v>22</v>
      </c>
    </row>
    <row r="5" spans="1:17" x14ac:dyDescent="0.3">
      <c r="A5">
        <v>4</v>
      </c>
      <c r="B5" s="1">
        <v>45770</v>
      </c>
      <c r="C5" t="s">
        <v>28</v>
      </c>
      <c r="D5" t="s">
        <v>29</v>
      </c>
      <c r="E5">
        <v>11</v>
      </c>
      <c r="F5" t="s">
        <v>17</v>
      </c>
      <c r="G5" t="s">
        <v>33</v>
      </c>
      <c r="H5" t="s">
        <v>34</v>
      </c>
      <c r="I5" t="s">
        <v>35</v>
      </c>
      <c r="J5" t="s">
        <v>36</v>
      </c>
      <c r="K5" t="s">
        <v>36</v>
      </c>
      <c r="L5">
        <v>2089</v>
      </c>
      <c r="M5">
        <v>5</v>
      </c>
      <c r="N5">
        <v>8965.5</v>
      </c>
      <c r="O5" t="s">
        <v>27</v>
      </c>
    </row>
    <row r="6" spans="1:17" x14ac:dyDescent="0.3">
      <c r="A6">
        <v>5</v>
      </c>
      <c r="B6" s="1">
        <v>45874</v>
      </c>
      <c r="C6" t="s">
        <v>37</v>
      </c>
      <c r="D6" t="s">
        <v>24</v>
      </c>
      <c r="E6">
        <v>9</v>
      </c>
      <c r="F6" t="s">
        <v>17</v>
      </c>
      <c r="G6" t="s">
        <v>38</v>
      </c>
      <c r="H6" t="s">
        <v>39</v>
      </c>
      <c r="I6" t="s">
        <v>39</v>
      </c>
      <c r="J6" t="s">
        <v>40</v>
      </c>
      <c r="K6" t="s">
        <v>41</v>
      </c>
      <c r="L6">
        <v>1643</v>
      </c>
      <c r="M6">
        <v>4</v>
      </c>
      <c r="N6">
        <v>5122.3999999999996</v>
      </c>
      <c r="O6" t="s">
        <v>42</v>
      </c>
    </row>
    <row r="7" spans="1:17" x14ac:dyDescent="0.3">
      <c r="A7">
        <v>6</v>
      </c>
      <c r="B7" s="1">
        <v>45852</v>
      </c>
      <c r="C7" t="s">
        <v>43</v>
      </c>
      <c r="D7" t="s">
        <v>44</v>
      </c>
      <c r="E7">
        <v>7</v>
      </c>
      <c r="F7" t="s">
        <v>17</v>
      </c>
      <c r="G7" t="s">
        <v>45</v>
      </c>
      <c r="H7" t="s">
        <v>19</v>
      </c>
      <c r="I7" t="s">
        <v>46</v>
      </c>
      <c r="J7" t="s">
        <v>20</v>
      </c>
      <c r="K7" t="s">
        <v>21</v>
      </c>
      <c r="L7">
        <v>646</v>
      </c>
      <c r="M7">
        <v>4</v>
      </c>
      <c r="N7">
        <v>2693.1</v>
      </c>
      <c r="O7" t="s">
        <v>42</v>
      </c>
    </row>
    <row r="8" spans="1:17" x14ac:dyDescent="0.3">
      <c r="A8">
        <v>7</v>
      </c>
      <c r="B8" s="1">
        <v>45932</v>
      </c>
      <c r="C8" t="s">
        <v>23</v>
      </c>
      <c r="D8" t="s">
        <v>16</v>
      </c>
      <c r="E8">
        <v>17</v>
      </c>
      <c r="F8" t="s">
        <v>47</v>
      </c>
      <c r="G8" t="s">
        <v>48</v>
      </c>
      <c r="H8" t="s">
        <v>49</v>
      </c>
      <c r="I8" t="s">
        <v>50</v>
      </c>
      <c r="J8" t="s">
        <v>20</v>
      </c>
      <c r="K8" t="s">
        <v>36</v>
      </c>
      <c r="L8">
        <v>761</v>
      </c>
      <c r="M8">
        <v>4</v>
      </c>
      <c r="N8">
        <v>2545.1999999999998</v>
      </c>
      <c r="O8" t="s">
        <v>42</v>
      </c>
    </row>
    <row r="9" spans="1:17" x14ac:dyDescent="0.3">
      <c r="A9">
        <v>8</v>
      </c>
      <c r="B9" s="1">
        <v>45756</v>
      </c>
      <c r="C9" t="s">
        <v>28</v>
      </c>
      <c r="D9" t="s">
        <v>29</v>
      </c>
      <c r="E9">
        <v>8</v>
      </c>
      <c r="F9" t="s">
        <v>17</v>
      </c>
      <c r="G9" t="s">
        <v>51</v>
      </c>
      <c r="H9" t="s">
        <v>52</v>
      </c>
      <c r="I9" t="s">
        <v>53</v>
      </c>
      <c r="J9" t="s">
        <v>40</v>
      </c>
      <c r="K9" t="s">
        <v>41</v>
      </c>
      <c r="L9">
        <v>534</v>
      </c>
      <c r="M9">
        <v>3</v>
      </c>
      <c r="N9">
        <v>1476.5</v>
      </c>
      <c r="O9" t="s">
        <v>42</v>
      </c>
    </row>
    <row r="10" spans="1:17" x14ac:dyDescent="0.3">
      <c r="A10">
        <v>9</v>
      </c>
      <c r="B10" s="1">
        <v>45709</v>
      </c>
      <c r="C10" t="s">
        <v>15</v>
      </c>
      <c r="D10" t="s">
        <v>54</v>
      </c>
      <c r="E10">
        <v>11</v>
      </c>
      <c r="F10" t="s">
        <v>17</v>
      </c>
      <c r="G10" t="s">
        <v>55</v>
      </c>
      <c r="H10" t="s">
        <v>56</v>
      </c>
      <c r="I10" t="s">
        <v>57</v>
      </c>
      <c r="J10" t="s">
        <v>20</v>
      </c>
      <c r="K10" t="s">
        <v>21</v>
      </c>
      <c r="L10">
        <v>1806</v>
      </c>
      <c r="M10">
        <v>4</v>
      </c>
      <c r="N10">
        <v>6204.2</v>
      </c>
      <c r="O10" t="s">
        <v>42</v>
      </c>
    </row>
    <row r="11" spans="1:17" x14ac:dyDescent="0.3">
      <c r="A11">
        <v>10</v>
      </c>
      <c r="B11" s="1">
        <v>45839</v>
      </c>
      <c r="C11" t="s">
        <v>43</v>
      </c>
      <c r="D11" t="s">
        <v>24</v>
      </c>
      <c r="E11">
        <v>11</v>
      </c>
      <c r="F11" t="s">
        <v>17</v>
      </c>
      <c r="G11" t="s">
        <v>58</v>
      </c>
      <c r="H11" t="s">
        <v>59</v>
      </c>
      <c r="I11" t="s">
        <v>60</v>
      </c>
      <c r="J11" t="s">
        <v>36</v>
      </c>
      <c r="K11" t="s">
        <v>36</v>
      </c>
      <c r="L11">
        <v>1108</v>
      </c>
      <c r="M11">
        <v>4</v>
      </c>
      <c r="N11">
        <v>4049.8</v>
      </c>
      <c r="O11" t="s">
        <v>27</v>
      </c>
    </row>
    <row r="12" spans="1:17" x14ac:dyDescent="0.3">
      <c r="A12">
        <v>11</v>
      </c>
      <c r="B12" s="1">
        <v>45783</v>
      </c>
      <c r="C12" t="s">
        <v>61</v>
      </c>
      <c r="D12" t="s">
        <v>24</v>
      </c>
      <c r="E12">
        <v>16</v>
      </c>
      <c r="F12" t="s">
        <v>62</v>
      </c>
      <c r="G12" t="s">
        <v>63</v>
      </c>
      <c r="H12" t="s">
        <v>52</v>
      </c>
      <c r="I12" t="s">
        <v>64</v>
      </c>
      <c r="J12" t="s">
        <v>40</v>
      </c>
      <c r="K12" t="s">
        <v>41</v>
      </c>
      <c r="L12">
        <v>919</v>
      </c>
      <c r="M12">
        <v>4</v>
      </c>
      <c r="N12">
        <v>3674</v>
      </c>
      <c r="O12" t="s">
        <v>22</v>
      </c>
      <c r="Q12">
        <f>SUM(L2:L101)</f>
        <v>151366</v>
      </c>
    </row>
    <row r="13" spans="1:17" x14ac:dyDescent="0.3">
      <c r="A13">
        <v>12</v>
      </c>
      <c r="B13" s="1">
        <v>45775</v>
      </c>
      <c r="C13" t="s">
        <v>28</v>
      </c>
      <c r="D13" t="s">
        <v>44</v>
      </c>
      <c r="E13">
        <v>12</v>
      </c>
      <c r="F13" t="s">
        <v>62</v>
      </c>
      <c r="G13" t="s">
        <v>65</v>
      </c>
      <c r="H13" t="s">
        <v>19</v>
      </c>
      <c r="I13" t="s">
        <v>66</v>
      </c>
      <c r="J13" t="s">
        <v>20</v>
      </c>
      <c r="K13" t="s">
        <v>21</v>
      </c>
      <c r="L13">
        <v>381</v>
      </c>
      <c r="M13">
        <v>4</v>
      </c>
      <c r="N13">
        <v>1334.8</v>
      </c>
      <c r="O13" t="s">
        <v>27</v>
      </c>
    </row>
    <row r="14" spans="1:17" x14ac:dyDescent="0.3">
      <c r="A14">
        <v>13</v>
      </c>
      <c r="B14" s="1">
        <v>45819</v>
      </c>
      <c r="C14" t="s">
        <v>67</v>
      </c>
      <c r="D14" t="s">
        <v>29</v>
      </c>
      <c r="E14">
        <v>10</v>
      </c>
      <c r="F14" t="s">
        <v>17</v>
      </c>
      <c r="G14" t="s">
        <v>51</v>
      </c>
      <c r="H14" t="s">
        <v>52</v>
      </c>
      <c r="I14" t="s">
        <v>53</v>
      </c>
      <c r="J14" t="s">
        <v>40</v>
      </c>
      <c r="K14" t="s">
        <v>41</v>
      </c>
      <c r="L14">
        <v>1120</v>
      </c>
      <c r="M14">
        <v>5</v>
      </c>
      <c r="N14">
        <v>4638.8</v>
      </c>
      <c r="O14" t="s">
        <v>68</v>
      </c>
    </row>
    <row r="15" spans="1:17" x14ac:dyDescent="0.3">
      <c r="A15">
        <v>14</v>
      </c>
      <c r="B15" s="1">
        <v>45729</v>
      </c>
      <c r="C15" t="s">
        <v>69</v>
      </c>
      <c r="D15" t="s">
        <v>16</v>
      </c>
      <c r="E15">
        <v>18</v>
      </c>
      <c r="F15" t="s">
        <v>47</v>
      </c>
      <c r="G15" t="s">
        <v>70</v>
      </c>
      <c r="H15" t="s">
        <v>71</v>
      </c>
      <c r="I15" t="s">
        <v>70</v>
      </c>
      <c r="J15" t="s">
        <v>20</v>
      </c>
      <c r="K15" t="s">
        <v>21</v>
      </c>
      <c r="L15">
        <v>1260</v>
      </c>
      <c r="M15">
        <v>5</v>
      </c>
      <c r="N15">
        <v>5744</v>
      </c>
      <c r="O15" t="s">
        <v>68</v>
      </c>
      <c r="Q15">
        <f>SUM(N2:N101)</f>
        <v>538745.1</v>
      </c>
    </row>
    <row r="16" spans="1:17" x14ac:dyDescent="0.3">
      <c r="A16">
        <v>15</v>
      </c>
      <c r="B16" s="1">
        <v>45770</v>
      </c>
      <c r="C16" t="s">
        <v>28</v>
      </c>
      <c r="D16" t="s">
        <v>29</v>
      </c>
      <c r="E16">
        <v>9</v>
      </c>
      <c r="F16" t="s">
        <v>17</v>
      </c>
      <c r="G16" t="s">
        <v>58</v>
      </c>
      <c r="H16" t="s">
        <v>59</v>
      </c>
      <c r="I16" t="s">
        <v>60</v>
      </c>
      <c r="J16" t="s">
        <v>36</v>
      </c>
      <c r="K16" t="s">
        <v>36</v>
      </c>
      <c r="L16">
        <v>816</v>
      </c>
      <c r="M16">
        <v>5</v>
      </c>
      <c r="N16">
        <v>3518.8</v>
      </c>
      <c r="O16" t="s">
        <v>27</v>
      </c>
    </row>
    <row r="17" spans="1:18" x14ac:dyDescent="0.3">
      <c r="A17">
        <v>16</v>
      </c>
      <c r="B17" s="1">
        <v>45979</v>
      </c>
      <c r="C17" t="s">
        <v>72</v>
      </c>
      <c r="D17" t="s">
        <v>24</v>
      </c>
      <c r="E17">
        <v>18</v>
      </c>
      <c r="F17" t="s">
        <v>47</v>
      </c>
      <c r="G17" t="s">
        <v>73</v>
      </c>
      <c r="H17" t="s">
        <v>19</v>
      </c>
      <c r="I17" t="s">
        <v>74</v>
      </c>
      <c r="J17" t="s">
        <v>20</v>
      </c>
      <c r="K17" t="s">
        <v>21</v>
      </c>
      <c r="L17">
        <v>905</v>
      </c>
      <c r="M17">
        <v>4</v>
      </c>
      <c r="N17">
        <v>3735.3</v>
      </c>
      <c r="O17" t="s">
        <v>68</v>
      </c>
    </row>
    <row r="18" spans="1:18" x14ac:dyDescent="0.3">
      <c r="A18">
        <v>17</v>
      </c>
      <c r="B18" s="1">
        <v>45897</v>
      </c>
      <c r="C18" t="s">
        <v>37</v>
      </c>
      <c r="D18" t="s">
        <v>16</v>
      </c>
      <c r="E18">
        <v>9</v>
      </c>
      <c r="F18" t="s">
        <v>17</v>
      </c>
      <c r="G18" t="s">
        <v>75</v>
      </c>
      <c r="H18" t="s">
        <v>76</v>
      </c>
      <c r="I18" t="s">
        <v>77</v>
      </c>
      <c r="J18" t="s">
        <v>78</v>
      </c>
      <c r="K18" t="s">
        <v>41</v>
      </c>
      <c r="L18">
        <v>2417</v>
      </c>
      <c r="M18">
        <v>3</v>
      </c>
      <c r="N18">
        <v>9362.7999999999993</v>
      </c>
      <c r="O18" t="s">
        <v>27</v>
      </c>
    </row>
    <row r="19" spans="1:18" x14ac:dyDescent="0.3">
      <c r="A19">
        <v>18</v>
      </c>
      <c r="B19" s="1">
        <v>45932</v>
      </c>
      <c r="C19" t="s">
        <v>23</v>
      </c>
      <c r="D19" t="s">
        <v>16</v>
      </c>
      <c r="E19">
        <v>11</v>
      </c>
      <c r="F19" t="s">
        <v>17</v>
      </c>
      <c r="G19" t="s">
        <v>79</v>
      </c>
      <c r="H19" t="s">
        <v>39</v>
      </c>
      <c r="I19" t="s">
        <v>80</v>
      </c>
      <c r="J19" t="s">
        <v>40</v>
      </c>
      <c r="K19" t="s">
        <v>41</v>
      </c>
      <c r="L19">
        <v>1342</v>
      </c>
      <c r="M19">
        <v>4</v>
      </c>
      <c r="N19">
        <v>4389.2</v>
      </c>
      <c r="O19" t="s">
        <v>68</v>
      </c>
    </row>
    <row r="20" spans="1:18" x14ac:dyDescent="0.3">
      <c r="A20">
        <v>19</v>
      </c>
      <c r="B20" s="1">
        <v>45659</v>
      </c>
      <c r="C20" t="s">
        <v>81</v>
      </c>
      <c r="D20" t="s">
        <v>16</v>
      </c>
      <c r="E20">
        <v>15</v>
      </c>
      <c r="F20" t="s">
        <v>62</v>
      </c>
      <c r="G20" t="s">
        <v>48</v>
      </c>
      <c r="H20" t="s">
        <v>49</v>
      </c>
      <c r="I20" t="s">
        <v>50</v>
      </c>
      <c r="J20" t="s">
        <v>20</v>
      </c>
      <c r="K20" t="s">
        <v>36</v>
      </c>
      <c r="L20">
        <v>1328</v>
      </c>
      <c r="M20">
        <v>5</v>
      </c>
      <c r="N20">
        <v>6157.2</v>
      </c>
      <c r="O20" t="s">
        <v>27</v>
      </c>
      <c r="Q20">
        <f>COUNTA(G2:G101)</f>
        <v>100</v>
      </c>
    </row>
    <row r="21" spans="1:18" x14ac:dyDescent="0.3">
      <c r="A21">
        <v>20</v>
      </c>
      <c r="B21" s="1">
        <v>45917</v>
      </c>
      <c r="C21" t="s">
        <v>82</v>
      </c>
      <c r="D21" t="s">
        <v>29</v>
      </c>
      <c r="E21">
        <v>23</v>
      </c>
      <c r="F21" t="s">
        <v>30</v>
      </c>
      <c r="G21" t="s">
        <v>83</v>
      </c>
      <c r="H21" t="s">
        <v>84</v>
      </c>
      <c r="I21" t="s">
        <v>85</v>
      </c>
      <c r="J21" t="s">
        <v>40</v>
      </c>
      <c r="K21" t="s">
        <v>41</v>
      </c>
      <c r="L21">
        <v>2744</v>
      </c>
      <c r="M21">
        <v>3</v>
      </c>
      <c r="N21">
        <v>7817.7</v>
      </c>
      <c r="O21" t="s">
        <v>22</v>
      </c>
    </row>
    <row r="22" spans="1:18" x14ac:dyDescent="0.3">
      <c r="A22">
        <v>21</v>
      </c>
      <c r="B22" s="1">
        <v>45658</v>
      </c>
      <c r="C22" t="s">
        <v>81</v>
      </c>
      <c r="D22" t="s">
        <v>29</v>
      </c>
      <c r="E22">
        <v>17</v>
      </c>
      <c r="F22" t="s">
        <v>47</v>
      </c>
      <c r="G22" t="s">
        <v>86</v>
      </c>
      <c r="H22" t="s">
        <v>87</v>
      </c>
      <c r="I22" t="s">
        <v>88</v>
      </c>
      <c r="J22" t="s">
        <v>40</v>
      </c>
      <c r="K22" t="s">
        <v>41</v>
      </c>
      <c r="L22">
        <v>2703</v>
      </c>
      <c r="M22">
        <v>4</v>
      </c>
      <c r="N22">
        <v>9806.9</v>
      </c>
      <c r="O22" t="s">
        <v>27</v>
      </c>
      <c r="R22" t="str">
        <f>INDEX(H2:H101,MATCH(MAX(L2:L101),L2:L101,0))</f>
        <v>Diljit Dosanjh</v>
      </c>
    </row>
    <row r="23" spans="1:18" x14ac:dyDescent="0.3">
      <c r="A23">
        <v>22</v>
      </c>
      <c r="B23" s="1">
        <v>45780</v>
      </c>
      <c r="C23" t="s">
        <v>61</v>
      </c>
      <c r="D23" t="s">
        <v>89</v>
      </c>
      <c r="E23">
        <v>8</v>
      </c>
      <c r="F23" t="s">
        <v>17</v>
      </c>
      <c r="G23" t="s">
        <v>90</v>
      </c>
      <c r="H23" t="s">
        <v>91</v>
      </c>
      <c r="I23" t="s">
        <v>90</v>
      </c>
      <c r="J23" t="s">
        <v>20</v>
      </c>
      <c r="K23" t="s">
        <v>21</v>
      </c>
      <c r="L23">
        <v>487</v>
      </c>
      <c r="M23">
        <v>3</v>
      </c>
      <c r="N23">
        <v>1816.5</v>
      </c>
      <c r="O23" t="s">
        <v>27</v>
      </c>
    </row>
    <row r="24" spans="1:18" x14ac:dyDescent="0.3">
      <c r="A24">
        <v>23</v>
      </c>
      <c r="B24" s="1">
        <v>45693</v>
      </c>
      <c r="C24" t="s">
        <v>15</v>
      </c>
      <c r="D24" t="s">
        <v>29</v>
      </c>
      <c r="E24">
        <v>23</v>
      </c>
      <c r="F24" t="s">
        <v>30</v>
      </c>
      <c r="G24" t="s">
        <v>92</v>
      </c>
      <c r="H24" t="s">
        <v>87</v>
      </c>
      <c r="I24" t="s">
        <v>88</v>
      </c>
      <c r="J24" t="s">
        <v>40</v>
      </c>
      <c r="K24" t="s">
        <v>41</v>
      </c>
      <c r="L24">
        <v>2431</v>
      </c>
      <c r="M24">
        <v>3</v>
      </c>
      <c r="N24">
        <v>6318.6</v>
      </c>
      <c r="O24" t="s">
        <v>68</v>
      </c>
    </row>
    <row r="25" spans="1:18" x14ac:dyDescent="0.3">
      <c r="A25">
        <v>24</v>
      </c>
      <c r="B25" s="1">
        <v>45793</v>
      </c>
      <c r="C25" t="s">
        <v>61</v>
      </c>
      <c r="D25" t="s">
        <v>54</v>
      </c>
      <c r="E25">
        <v>23</v>
      </c>
      <c r="F25" t="s">
        <v>30</v>
      </c>
      <c r="G25" t="s">
        <v>93</v>
      </c>
      <c r="H25" t="s">
        <v>56</v>
      </c>
      <c r="I25" t="s">
        <v>94</v>
      </c>
      <c r="J25" t="s">
        <v>20</v>
      </c>
      <c r="K25" t="s">
        <v>21</v>
      </c>
      <c r="L25">
        <v>2411</v>
      </c>
      <c r="M25">
        <v>5</v>
      </c>
      <c r="N25">
        <v>11006.4</v>
      </c>
      <c r="O25" t="s">
        <v>22</v>
      </c>
    </row>
    <row r="26" spans="1:18" x14ac:dyDescent="0.3">
      <c r="A26">
        <v>25</v>
      </c>
      <c r="B26" s="1">
        <v>45760</v>
      </c>
      <c r="C26" t="s">
        <v>28</v>
      </c>
      <c r="D26" t="s">
        <v>95</v>
      </c>
      <c r="E26">
        <v>20</v>
      </c>
      <c r="F26" t="s">
        <v>47</v>
      </c>
      <c r="G26" t="s">
        <v>38</v>
      </c>
      <c r="H26" t="s">
        <v>39</v>
      </c>
      <c r="I26" t="s">
        <v>39</v>
      </c>
      <c r="J26" t="s">
        <v>40</v>
      </c>
      <c r="K26" t="s">
        <v>41</v>
      </c>
      <c r="L26">
        <v>1526</v>
      </c>
      <c r="M26">
        <v>4</v>
      </c>
      <c r="N26">
        <v>6895.2</v>
      </c>
      <c r="O26" t="s">
        <v>42</v>
      </c>
    </row>
    <row r="27" spans="1:18" x14ac:dyDescent="0.3">
      <c r="A27">
        <v>26</v>
      </c>
      <c r="B27" s="1">
        <v>45889</v>
      </c>
      <c r="C27" t="s">
        <v>37</v>
      </c>
      <c r="D27" t="s">
        <v>29</v>
      </c>
      <c r="E27">
        <v>6</v>
      </c>
      <c r="F27" t="s">
        <v>17</v>
      </c>
      <c r="G27" t="s">
        <v>86</v>
      </c>
      <c r="H27" t="s">
        <v>87</v>
      </c>
      <c r="I27" t="s">
        <v>88</v>
      </c>
      <c r="J27" t="s">
        <v>40</v>
      </c>
      <c r="K27" t="s">
        <v>41</v>
      </c>
      <c r="L27">
        <v>745</v>
      </c>
      <c r="M27">
        <v>3</v>
      </c>
      <c r="N27">
        <v>2300.4</v>
      </c>
      <c r="O27" t="s">
        <v>42</v>
      </c>
    </row>
    <row r="28" spans="1:18" x14ac:dyDescent="0.3">
      <c r="A28">
        <v>27</v>
      </c>
      <c r="B28" s="1">
        <v>45941</v>
      </c>
      <c r="C28" t="s">
        <v>23</v>
      </c>
      <c r="D28" t="s">
        <v>89</v>
      </c>
      <c r="E28">
        <v>7</v>
      </c>
      <c r="F28" t="s">
        <v>17</v>
      </c>
      <c r="G28" t="s">
        <v>96</v>
      </c>
      <c r="H28" t="s">
        <v>76</v>
      </c>
      <c r="I28" t="s">
        <v>97</v>
      </c>
      <c r="J28" t="s">
        <v>78</v>
      </c>
      <c r="K28" t="s">
        <v>41</v>
      </c>
      <c r="L28">
        <v>1192</v>
      </c>
      <c r="M28">
        <v>5</v>
      </c>
      <c r="N28">
        <v>5018.5</v>
      </c>
      <c r="O28" t="s">
        <v>27</v>
      </c>
    </row>
    <row r="29" spans="1:18" x14ac:dyDescent="0.3">
      <c r="A29">
        <v>28</v>
      </c>
      <c r="B29" s="1">
        <v>45692</v>
      </c>
      <c r="C29" t="s">
        <v>15</v>
      </c>
      <c r="D29" t="s">
        <v>24</v>
      </c>
      <c r="E29">
        <v>14</v>
      </c>
      <c r="F29" t="s">
        <v>62</v>
      </c>
      <c r="G29" t="s">
        <v>55</v>
      </c>
      <c r="H29" t="s">
        <v>56</v>
      </c>
      <c r="I29" t="s">
        <v>57</v>
      </c>
      <c r="J29" t="s">
        <v>20</v>
      </c>
      <c r="K29" t="s">
        <v>21</v>
      </c>
      <c r="L29">
        <v>378</v>
      </c>
      <c r="M29">
        <v>4</v>
      </c>
      <c r="N29">
        <v>1204.9000000000001</v>
      </c>
      <c r="O29" t="s">
        <v>22</v>
      </c>
    </row>
    <row r="30" spans="1:18" x14ac:dyDescent="0.3">
      <c r="A30">
        <v>29</v>
      </c>
      <c r="B30" s="1">
        <v>45906</v>
      </c>
      <c r="C30" t="s">
        <v>82</v>
      </c>
      <c r="D30" t="s">
        <v>89</v>
      </c>
      <c r="E30">
        <v>13</v>
      </c>
      <c r="F30" t="s">
        <v>62</v>
      </c>
      <c r="G30" t="s">
        <v>98</v>
      </c>
      <c r="H30" t="s">
        <v>99</v>
      </c>
      <c r="I30" t="s">
        <v>100</v>
      </c>
      <c r="J30" t="s">
        <v>40</v>
      </c>
      <c r="K30" t="s">
        <v>41</v>
      </c>
      <c r="L30">
        <v>1127</v>
      </c>
      <c r="M30">
        <v>5</v>
      </c>
      <c r="N30">
        <v>4435.3</v>
      </c>
      <c r="O30" t="s">
        <v>68</v>
      </c>
    </row>
    <row r="31" spans="1:18" x14ac:dyDescent="0.3">
      <c r="A31">
        <v>30</v>
      </c>
      <c r="B31" s="1">
        <v>45866</v>
      </c>
      <c r="C31" t="s">
        <v>43</v>
      </c>
      <c r="D31" t="s">
        <v>44</v>
      </c>
      <c r="E31">
        <v>17</v>
      </c>
      <c r="F31" t="s">
        <v>47</v>
      </c>
      <c r="G31" t="s">
        <v>88</v>
      </c>
      <c r="H31" t="s">
        <v>87</v>
      </c>
      <c r="I31" t="s">
        <v>88</v>
      </c>
      <c r="J31" t="s">
        <v>101</v>
      </c>
      <c r="K31" t="s">
        <v>41</v>
      </c>
      <c r="L31">
        <v>1029</v>
      </c>
      <c r="M31">
        <v>3</v>
      </c>
      <c r="N31">
        <v>2543.3000000000002</v>
      </c>
      <c r="O31" t="s">
        <v>68</v>
      </c>
    </row>
    <row r="32" spans="1:18" x14ac:dyDescent="0.3">
      <c r="A32">
        <v>31</v>
      </c>
      <c r="B32" s="1">
        <v>45868</v>
      </c>
      <c r="C32" t="s">
        <v>43</v>
      </c>
      <c r="D32" t="s">
        <v>29</v>
      </c>
      <c r="E32">
        <v>7</v>
      </c>
      <c r="F32" t="s">
        <v>17</v>
      </c>
      <c r="G32" t="s">
        <v>102</v>
      </c>
      <c r="H32" t="s">
        <v>34</v>
      </c>
      <c r="I32" t="s">
        <v>35</v>
      </c>
      <c r="J32" t="s">
        <v>36</v>
      </c>
      <c r="K32" t="s">
        <v>36</v>
      </c>
      <c r="L32">
        <v>2162</v>
      </c>
      <c r="M32">
        <v>3</v>
      </c>
      <c r="N32">
        <v>6063.5</v>
      </c>
      <c r="O32" t="s">
        <v>27</v>
      </c>
    </row>
    <row r="33" spans="1:15" x14ac:dyDescent="0.3">
      <c r="A33">
        <v>32</v>
      </c>
      <c r="B33" s="1">
        <v>45831</v>
      </c>
      <c r="C33" t="s">
        <v>67</v>
      </c>
      <c r="D33" t="s">
        <v>44</v>
      </c>
      <c r="E33">
        <v>10</v>
      </c>
      <c r="F33" t="s">
        <v>17</v>
      </c>
      <c r="G33" t="s">
        <v>103</v>
      </c>
      <c r="H33" t="s">
        <v>59</v>
      </c>
      <c r="I33" t="s">
        <v>103</v>
      </c>
      <c r="J33" t="s">
        <v>36</v>
      </c>
      <c r="K33" t="s">
        <v>36</v>
      </c>
      <c r="L33">
        <v>697</v>
      </c>
      <c r="M33">
        <v>3</v>
      </c>
      <c r="N33">
        <v>2128.4</v>
      </c>
      <c r="O33" t="s">
        <v>68</v>
      </c>
    </row>
    <row r="34" spans="1:15" x14ac:dyDescent="0.3">
      <c r="A34">
        <v>33</v>
      </c>
      <c r="B34" s="1">
        <v>45751</v>
      </c>
      <c r="C34" t="s">
        <v>28</v>
      </c>
      <c r="D34" t="s">
        <v>54</v>
      </c>
      <c r="E34">
        <v>20</v>
      </c>
      <c r="F34" t="s">
        <v>47</v>
      </c>
      <c r="G34" t="s">
        <v>102</v>
      </c>
      <c r="H34" t="s">
        <v>34</v>
      </c>
      <c r="I34" t="s">
        <v>35</v>
      </c>
      <c r="J34" t="s">
        <v>36</v>
      </c>
      <c r="K34" t="s">
        <v>36</v>
      </c>
      <c r="L34">
        <v>1390</v>
      </c>
      <c r="M34">
        <v>4</v>
      </c>
      <c r="N34">
        <v>5328.1</v>
      </c>
      <c r="O34" t="s">
        <v>27</v>
      </c>
    </row>
    <row r="35" spans="1:15" x14ac:dyDescent="0.3">
      <c r="A35">
        <v>34</v>
      </c>
      <c r="B35" s="1">
        <v>45708</v>
      </c>
      <c r="C35" t="s">
        <v>15</v>
      </c>
      <c r="D35" t="s">
        <v>16</v>
      </c>
      <c r="E35">
        <v>13</v>
      </c>
      <c r="F35" t="s">
        <v>62</v>
      </c>
      <c r="G35" t="s">
        <v>104</v>
      </c>
      <c r="H35" t="s">
        <v>52</v>
      </c>
      <c r="I35" t="s">
        <v>64</v>
      </c>
      <c r="J35" t="s">
        <v>40</v>
      </c>
      <c r="K35" t="s">
        <v>41</v>
      </c>
      <c r="L35">
        <v>457</v>
      </c>
      <c r="M35">
        <v>5</v>
      </c>
      <c r="N35">
        <v>2234.6999999999998</v>
      </c>
      <c r="O35" t="s">
        <v>27</v>
      </c>
    </row>
    <row r="36" spans="1:15" x14ac:dyDescent="0.3">
      <c r="A36">
        <v>35</v>
      </c>
      <c r="B36" s="1">
        <v>45866</v>
      </c>
      <c r="C36" t="s">
        <v>43</v>
      </c>
      <c r="D36" t="s">
        <v>44</v>
      </c>
      <c r="E36">
        <v>7</v>
      </c>
      <c r="F36" t="s">
        <v>17</v>
      </c>
      <c r="G36" t="s">
        <v>93</v>
      </c>
      <c r="H36" t="s">
        <v>56</v>
      </c>
      <c r="I36" t="s">
        <v>94</v>
      </c>
      <c r="J36" t="s">
        <v>20</v>
      </c>
      <c r="K36" t="s">
        <v>21</v>
      </c>
      <c r="L36">
        <v>2239</v>
      </c>
      <c r="M36">
        <v>4</v>
      </c>
      <c r="N36">
        <v>8624.7000000000007</v>
      </c>
      <c r="O36" t="s">
        <v>68</v>
      </c>
    </row>
    <row r="37" spans="1:15" x14ac:dyDescent="0.3">
      <c r="A37">
        <v>36</v>
      </c>
      <c r="B37" s="1">
        <v>45852</v>
      </c>
      <c r="C37" t="s">
        <v>43</v>
      </c>
      <c r="D37" t="s">
        <v>44</v>
      </c>
      <c r="E37">
        <v>15</v>
      </c>
      <c r="F37" t="s">
        <v>62</v>
      </c>
      <c r="G37" t="s">
        <v>93</v>
      </c>
      <c r="H37" t="s">
        <v>56</v>
      </c>
      <c r="I37" t="s">
        <v>94</v>
      </c>
      <c r="J37" t="s">
        <v>20</v>
      </c>
      <c r="K37" t="s">
        <v>21</v>
      </c>
      <c r="L37">
        <v>258</v>
      </c>
      <c r="M37">
        <v>4</v>
      </c>
      <c r="N37">
        <v>929.5</v>
      </c>
      <c r="O37" t="s">
        <v>68</v>
      </c>
    </row>
    <row r="38" spans="1:15" x14ac:dyDescent="0.3">
      <c r="A38">
        <v>37</v>
      </c>
      <c r="B38" s="1">
        <v>46014</v>
      </c>
      <c r="C38" t="s">
        <v>105</v>
      </c>
      <c r="D38" t="s">
        <v>24</v>
      </c>
      <c r="E38">
        <v>12</v>
      </c>
      <c r="F38" t="s">
        <v>62</v>
      </c>
      <c r="G38" t="s">
        <v>102</v>
      </c>
      <c r="H38" t="s">
        <v>34</v>
      </c>
      <c r="I38" t="s">
        <v>35</v>
      </c>
      <c r="J38" t="s">
        <v>36</v>
      </c>
      <c r="K38" t="s">
        <v>36</v>
      </c>
      <c r="L38">
        <v>2526</v>
      </c>
      <c r="M38">
        <v>4</v>
      </c>
      <c r="N38">
        <v>9569.9</v>
      </c>
      <c r="O38" t="s">
        <v>42</v>
      </c>
    </row>
    <row r="39" spans="1:15" x14ac:dyDescent="0.3">
      <c r="A39">
        <v>38</v>
      </c>
      <c r="B39" s="1">
        <v>45954</v>
      </c>
      <c r="C39" t="s">
        <v>23</v>
      </c>
      <c r="D39" t="s">
        <v>54</v>
      </c>
      <c r="E39">
        <v>7</v>
      </c>
      <c r="F39" t="s">
        <v>17</v>
      </c>
      <c r="G39" t="s">
        <v>65</v>
      </c>
      <c r="H39" t="s">
        <v>19</v>
      </c>
      <c r="I39" t="s">
        <v>66</v>
      </c>
      <c r="J39" t="s">
        <v>20</v>
      </c>
      <c r="K39" t="s">
        <v>21</v>
      </c>
      <c r="L39">
        <v>2470</v>
      </c>
      <c r="M39">
        <v>3</v>
      </c>
      <c r="N39">
        <v>7152.7</v>
      </c>
      <c r="O39" t="s">
        <v>27</v>
      </c>
    </row>
    <row r="40" spans="1:15" x14ac:dyDescent="0.3">
      <c r="A40">
        <v>39</v>
      </c>
      <c r="B40" s="1">
        <v>45902</v>
      </c>
      <c r="C40" t="s">
        <v>82</v>
      </c>
      <c r="D40" t="s">
        <v>24</v>
      </c>
      <c r="E40">
        <v>11</v>
      </c>
      <c r="F40" t="s">
        <v>17</v>
      </c>
      <c r="G40" t="s">
        <v>96</v>
      </c>
      <c r="H40" t="s">
        <v>76</v>
      </c>
      <c r="I40" t="s">
        <v>97</v>
      </c>
      <c r="J40" t="s">
        <v>78</v>
      </c>
      <c r="K40" t="s">
        <v>41</v>
      </c>
      <c r="L40">
        <v>2309</v>
      </c>
      <c r="M40">
        <v>5</v>
      </c>
      <c r="N40">
        <v>9077.7999999999993</v>
      </c>
      <c r="O40" t="s">
        <v>27</v>
      </c>
    </row>
    <row r="41" spans="1:15" x14ac:dyDescent="0.3">
      <c r="A41">
        <v>40</v>
      </c>
      <c r="B41" s="1">
        <v>45962</v>
      </c>
      <c r="C41" t="s">
        <v>72</v>
      </c>
      <c r="D41" t="s">
        <v>89</v>
      </c>
      <c r="E41">
        <v>7</v>
      </c>
      <c r="F41" t="s">
        <v>17</v>
      </c>
      <c r="G41" t="s">
        <v>106</v>
      </c>
      <c r="H41" t="s">
        <v>19</v>
      </c>
      <c r="I41" t="s">
        <v>66</v>
      </c>
      <c r="J41" t="s">
        <v>20</v>
      </c>
      <c r="K41" t="s">
        <v>21</v>
      </c>
      <c r="L41">
        <v>528</v>
      </c>
      <c r="M41">
        <v>3</v>
      </c>
      <c r="N41">
        <v>1706.1</v>
      </c>
      <c r="O41" t="s">
        <v>22</v>
      </c>
    </row>
    <row r="42" spans="1:15" x14ac:dyDescent="0.3">
      <c r="A42">
        <v>41</v>
      </c>
      <c r="B42" s="1">
        <v>45699</v>
      </c>
      <c r="C42" t="s">
        <v>15</v>
      </c>
      <c r="D42" t="s">
        <v>24</v>
      </c>
      <c r="E42">
        <v>14</v>
      </c>
      <c r="F42" t="s">
        <v>62</v>
      </c>
      <c r="G42" t="s">
        <v>107</v>
      </c>
      <c r="H42" t="s">
        <v>84</v>
      </c>
      <c r="I42" t="s">
        <v>108</v>
      </c>
      <c r="J42" t="s">
        <v>40</v>
      </c>
      <c r="K42" t="s">
        <v>41</v>
      </c>
      <c r="L42">
        <v>1967</v>
      </c>
      <c r="M42">
        <v>5</v>
      </c>
      <c r="N42">
        <v>9208.7000000000007</v>
      </c>
      <c r="O42" t="s">
        <v>42</v>
      </c>
    </row>
    <row r="43" spans="1:15" x14ac:dyDescent="0.3">
      <c r="A43">
        <v>42</v>
      </c>
      <c r="B43" s="1">
        <v>46000</v>
      </c>
      <c r="C43" t="s">
        <v>105</v>
      </c>
      <c r="D43" t="s">
        <v>24</v>
      </c>
      <c r="E43">
        <v>15</v>
      </c>
      <c r="F43" t="s">
        <v>62</v>
      </c>
      <c r="G43" t="s">
        <v>109</v>
      </c>
      <c r="H43" t="s">
        <v>56</v>
      </c>
      <c r="I43" t="s">
        <v>110</v>
      </c>
      <c r="J43" t="s">
        <v>20</v>
      </c>
      <c r="K43" t="s">
        <v>21</v>
      </c>
      <c r="L43">
        <v>1536</v>
      </c>
      <c r="M43">
        <v>3</v>
      </c>
      <c r="N43">
        <v>4767.2</v>
      </c>
      <c r="O43" t="s">
        <v>22</v>
      </c>
    </row>
    <row r="44" spans="1:15" x14ac:dyDescent="0.3">
      <c r="A44">
        <v>43</v>
      </c>
      <c r="B44" s="1">
        <v>45819</v>
      </c>
      <c r="C44" t="s">
        <v>67</v>
      </c>
      <c r="D44" t="s">
        <v>29</v>
      </c>
      <c r="E44">
        <v>8</v>
      </c>
      <c r="F44" t="s">
        <v>17</v>
      </c>
      <c r="G44" t="s">
        <v>48</v>
      </c>
      <c r="H44" t="s">
        <v>49</v>
      </c>
      <c r="I44" t="s">
        <v>50</v>
      </c>
      <c r="J44" t="s">
        <v>20</v>
      </c>
      <c r="K44" t="s">
        <v>36</v>
      </c>
      <c r="L44">
        <v>547</v>
      </c>
      <c r="M44">
        <v>2</v>
      </c>
      <c r="N44">
        <v>1354.1</v>
      </c>
      <c r="O44" t="s">
        <v>27</v>
      </c>
    </row>
    <row r="45" spans="1:15" x14ac:dyDescent="0.3">
      <c r="A45">
        <v>44</v>
      </c>
      <c r="B45" s="1">
        <v>45767</v>
      </c>
      <c r="C45" t="s">
        <v>28</v>
      </c>
      <c r="D45" t="s">
        <v>95</v>
      </c>
      <c r="E45">
        <v>8</v>
      </c>
      <c r="F45" t="s">
        <v>17</v>
      </c>
      <c r="G45" t="s">
        <v>63</v>
      </c>
      <c r="H45" t="s">
        <v>52</v>
      </c>
      <c r="I45" t="s">
        <v>64</v>
      </c>
      <c r="J45" t="s">
        <v>40</v>
      </c>
      <c r="K45" t="s">
        <v>41</v>
      </c>
      <c r="L45">
        <v>2322</v>
      </c>
      <c r="M45">
        <v>4</v>
      </c>
      <c r="N45">
        <v>7065.6</v>
      </c>
      <c r="O45" t="s">
        <v>42</v>
      </c>
    </row>
    <row r="46" spans="1:15" x14ac:dyDescent="0.3">
      <c r="A46">
        <v>45</v>
      </c>
      <c r="B46" s="1">
        <v>45847</v>
      </c>
      <c r="C46" t="s">
        <v>43</v>
      </c>
      <c r="D46" t="s">
        <v>29</v>
      </c>
      <c r="E46">
        <v>22</v>
      </c>
      <c r="F46" t="s">
        <v>30</v>
      </c>
      <c r="G46" t="s">
        <v>111</v>
      </c>
      <c r="H46" t="s">
        <v>71</v>
      </c>
      <c r="I46" t="s">
        <v>112</v>
      </c>
      <c r="J46" t="s">
        <v>20</v>
      </c>
      <c r="K46" t="s">
        <v>21</v>
      </c>
      <c r="L46">
        <v>1417</v>
      </c>
      <c r="M46">
        <v>3</v>
      </c>
      <c r="N46">
        <v>4234.3</v>
      </c>
      <c r="O46" t="s">
        <v>42</v>
      </c>
    </row>
    <row r="47" spans="1:15" x14ac:dyDescent="0.3">
      <c r="A47">
        <v>46</v>
      </c>
      <c r="B47" s="1">
        <v>45999</v>
      </c>
      <c r="C47" t="s">
        <v>105</v>
      </c>
      <c r="D47" t="s">
        <v>44</v>
      </c>
      <c r="E47">
        <v>10</v>
      </c>
      <c r="F47" t="s">
        <v>17</v>
      </c>
      <c r="G47" t="s">
        <v>18</v>
      </c>
      <c r="H47" t="s">
        <v>19</v>
      </c>
      <c r="I47" t="s">
        <v>18</v>
      </c>
      <c r="J47" t="s">
        <v>20</v>
      </c>
      <c r="K47" t="s">
        <v>21</v>
      </c>
      <c r="L47">
        <v>2521</v>
      </c>
      <c r="M47">
        <v>4</v>
      </c>
      <c r="N47">
        <v>10148.1</v>
      </c>
      <c r="O47" t="s">
        <v>27</v>
      </c>
    </row>
    <row r="48" spans="1:15" x14ac:dyDescent="0.3">
      <c r="A48">
        <v>47</v>
      </c>
      <c r="B48" s="1">
        <v>45717</v>
      </c>
      <c r="C48" t="s">
        <v>69</v>
      </c>
      <c r="D48" t="s">
        <v>89</v>
      </c>
      <c r="E48">
        <v>12</v>
      </c>
      <c r="F48" t="s">
        <v>62</v>
      </c>
      <c r="G48" t="s">
        <v>70</v>
      </c>
      <c r="H48" t="s">
        <v>71</v>
      </c>
      <c r="I48" t="s">
        <v>70</v>
      </c>
      <c r="J48" t="s">
        <v>20</v>
      </c>
      <c r="K48" t="s">
        <v>21</v>
      </c>
      <c r="L48">
        <v>688</v>
      </c>
      <c r="M48">
        <v>5</v>
      </c>
      <c r="N48">
        <v>2755.3</v>
      </c>
      <c r="O48" t="s">
        <v>42</v>
      </c>
    </row>
    <row r="49" spans="1:15" x14ac:dyDescent="0.3">
      <c r="A49">
        <v>48</v>
      </c>
      <c r="B49" s="1">
        <v>45762</v>
      </c>
      <c r="C49" t="s">
        <v>28</v>
      </c>
      <c r="D49" t="s">
        <v>24</v>
      </c>
      <c r="E49">
        <v>7</v>
      </c>
      <c r="F49" t="s">
        <v>17</v>
      </c>
      <c r="G49" t="s">
        <v>113</v>
      </c>
      <c r="H49" t="s">
        <v>114</v>
      </c>
      <c r="I49" t="s">
        <v>113</v>
      </c>
      <c r="J49" t="s">
        <v>115</v>
      </c>
      <c r="K49" t="s">
        <v>21</v>
      </c>
      <c r="L49">
        <v>2847</v>
      </c>
      <c r="M49">
        <v>4</v>
      </c>
      <c r="N49">
        <v>9776.6</v>
      </c>
      <c r="O49" t="s">
        <v>42</v>
      </c>
    </row>
    <row r="50" spans="1:15" x14ac:dyDescent="0.3">
      <c r="A50">
        <v>49</v>
      </c>
      <c r="B50" s="1">
        <v>45982</v>
      </c>
      <c r="C50" t="s">
        <v>72</v>
      </c>
      <c r="D50" t="s">
        <v>54</v>
      </c>
      <c r="E50">
        <v>10</v>
      </c>
      <c r="F50" t="s">
        <v>17</v>
      </c>
      <c r="G50" t="s">
        <v>45</v>
      </c>
      <c r="H50" t="s">
        <v>19</v>
      </c>
      <c r="I50" t="s">
        <v>46</v>
      </c>
      <c r="J50" t="s">
        <v>20</v>
      </c>
      <c r="K50" t="s">
        <v>21</v>
      </c>
      <c r="L50">
        <v>1984</v>
      </c>
      <c r="M50">
        <v>4</v>
      </c>
      <c r="N50">
        <v>5925.8</v>
      </c>
      <c r="O50" t="s">
        <v>42</v>
      </c>
    </row>
    <row r="51" spans="1:15" x14ac:dyDescent="0.3">
      <c r="A51">
        <v>50</v>
      </c>
      <c r="B51" s="1">
        <v>45792</v>
      </c>
      <c r="C51" t="s">
        <v>61</v>
      </c>
      <c r="D51" t="s">
        <v>16</v>
      </c>
      <c r="E51">
        <v>23</v>
      </c>
      <c r="F51" t="s">
        <v>30</v>
      </c>
      <c r="G51" t="s">
        <v>83</v>
      </c>
      <c r="H51" t="s">
        <v>84</v>
      </c>
      <c r="I51" t="s">
        <v>85</v>
      </c>
      <c r="J51" t="s">
        <v>40</v>
      </c>
      <c r="K51" t="s">
        <v>41</v>
      </c>
      <c r="L51">
        <v>911</v>
      </c>
      <c r="M51">
        <v>4</v>
      </c>
      <c r="N51">
        <v>3775.6</v>
      </c>
      <c r="O51" t="s">
        <v>68</v>
      </c>
    </row>
    <row r="52" spans="1:15" x14ac:dyDescent="0.3">
      <c r="A52">
        <v>51</v>
      </c>
      <c r="B52" s="1">
        <v>45715</v>
      </c>
      <c r="C52" t="s">
        <v>15</v>
      </c>
      <c r="D52" t="s">
        <v>16</v>
      </c>
      <c r="E52">
        <v>23</v>
      </c>
      <c r="F52" t="s">
        <v>30</v>
      </c>
      <c r="G52" t="s">
        <v>18</v>
      </c>
      <c r="H52" t="s">
        <v>19</v>
      </c>
      <c r="I52" t="s">
        <v>18</v>
      </c>
      <c r="J52" t="s">
        <v>20</v>
      </c>
      <c r="K52" t="s">
        <v>21</v>
      </c>
      <c r="L52">
        <v>558</v>
      </c>
      <c r="M52">
        <v>3</v>
      </c>
      <c r="N52">
        <v>1707.2</v>
      </c>
      <c r="O52" t="s">
        <v>42</v>
      </c>
    </row>
    <row r="53" spans="1:15" x14ac:dyDescent="0.3">
      <c r="A53">
        <v>52</v>
      </c>
      <c r="B53" s="1">
        <v>45878</v>
      </c>
      <c r="C53" t="s">
        <v>37</v>
      </c>
      <c r="D53" t="s">
        <v>89</v>
      </c>
      <c r="E53">
        <v>17</v>
      </c>
      <c r="F53" t="s">
        <v>47</v>
      </c>
      <c r="G53" t="s">
        <v>73</v>
      </c>
      <c r="H53" t="s">
        <v>19</v>
      </c>
      <c r="I53" t="s">
        <v>74</v>
      </c>
      <c r="J53" t="s">
        <v>20</v>
      </c>
      <c r="K53" t="s">
        <v>21</v>
      </c>
      <c r="L53">
        <v>772</v>
      </c>
      <c r="M53">
        <v>3</v>
      </c>
      <c r="N53">
        <v>1904.6</v>
      </c>
      <c r="O53" t="s">
        <v>27</v>
      </c>
    </row>
    <row r="54" spans="1:15" x14ac:dyDescent="0.3">
      <c r="A54">
        <v>53</v>
      </c>
      <c r="B54" s="1">
        <v>46007</v>
      </c>
      <c r="C54" t="s">
        <v>105</v>
      </c>
      <c r="D54" t="s">
        <v>24</v>
      </c>
      <c r="E54">
        <v>10</v>
      </c>
      <c r="F54" t="s">
        <v>17</v>
      </c>
      <c r="G54" t="s">
        <v>109</v>
      </c>
      <c r="H54" t="s">
        <v>56</v>
      </c>
      <c r="I54" t="s">
        <v>110</v>
      </c>
      <c r="J54" t="s">
        <v>20</v>
      </c>
      <c r="K54" t="s">
        <v>21</v>
      </c>
      <c r="L54">
        <v>1272</v>
      </c>
      <c r="M54">
        <v>3</v>
      </c>
      <c r="N54">
        <v>3459.9</v>
      </c>
      <c r="O54" t="s">
        <v>68</v>
      </c>
    </row>
    <row r="55" spans="1:15" x14ac:dyDescent="0.3">
      <c r="A55">
        <v>54</v>
      </c>
      <c r="B55" s="1">
        <v>45741</v>
      </c>
      <c r="C55" t="s">
        <v>69</v>
      </c>
      <c r="D55" t="s">
        <v>24</v>
      </c>
      <c r="E55">
        <v>19</v>
      </c>
      <c r="F55" t="s">
        <v>47</v>
      </c>
      <c r="G55" t="s">
        <v>111</v>
      </c>
      <c r="H55" t="s">
        <v>71</v>
      </c>
      <c r="I55" t="s">
        <v>112</v>
      </c>
      <c r="J55" t="s">
        <v>20</v>
      </c>
      <c r="K55" t="s">
        <v>21</v>
      </c>
      <c r="L55">
        <v>975</v>
      </c>
      <c r="M55">
        <v>4</v>
      </c>
      <c r="N55">
        <v>3305.3</v>
      </c>
      <c r="O55" t="s">
        <v>42</v>
      </c>
    </row>
    <row r="56" spans="1:15" x14ac:dyDescent="0.3">
      <c r="A56">
        <v>55</v>
      </c>
      <c r="B56" s="1">
        <v>45785</v>
      </c>
      <c r="C56" t="s">
        <v>61</v>
      </c>
      <c r="D56" t="s">
        <v>16</v>
      </c>
      <c r="E56">
        <v>18</v>
      </c>
      <c r="F56" t="s">
        <v>47</v>
      </c>
      <c r="G56" t="s">
        <v>98</v>
      </c>
      <c r="H56" t="s">
        <v>99</v>
      </c>
      <c r="I56" t="s">
        <v>100</v>
      </c>
      <c r="J56" t="s">
        <v>40</v>
      </c>
      <c r="K56" t="s">
        <v>41</v>
      </c>
      <c r="L56">
        <v>1342</v>
      </c>
      <c r="M56">
        <v>3</v>
      </c>
      <c r="N56">
        <v>4446.8</v>
      </c>
      <c r="O56" t="s">
        <v>27</v>
      </c>
    </row>
    <row r="57" spans="1:15" x14ac:dyDescent="0.3">
      <c r="A57">
        <v>56</v>
      </c>
      <c r="B57" s="1">
        <v>45898</v>
      </c>
      <c r="C57" t="s">
        <v>37</v>
      </c>
      <c r="D57" t="s">
        <v>54</v>
      </c>
      <c r="E57">
        <v>17</v>
      </c>
      <c r="F57" t="s">
        <v>47</v>
      </c>
      <c r="G57" t="s">
        <v>31</v>
      </c>
      <c r="H57" t="s">
        <v>19</v>
      </c>
      <c r="I57" t="s">
        <v>32</v>
      </c>
      <c r="J57" t="s">
        <v>20</v>
      </c>
      <c r="K57" t="s">
        <v>21</v>
      </c>
      <c r="L57">
        <v>1161</v>
      </c>
      <c r="M57">
        <v>3</v>
      </c>
      <c r="N57">
        <v>4077.1</v>
      </c>
      <c r="O57" t="s">
        <v>68</v>
      </c>
    </row>
    <row r="58" spans="1:15" x14ac:dyDescent="0.3">
      <c r="A58">
        <v>57</v>
      </c>
      <c r="B58" s="1">
        <v>45774</v>
      </c>
      <c r="C58" t="s">
        <v>28</v>
      </c>
      <c r="D58" t="s">
        <v>95</v>
      </c>
      <c r="E58">
        <v>16</v>
      </c>
      <c r="F58" t="s">
        <v>62</v>
      </c>
      <c r="G58" t="s">
        <v>90</v>
      </c>
      <c r="H58" t="s">
        <v>91</v>
      </c>
      <c r="I58" t="s">
        <v>90</v>
      </c>
      <c r="J58" t="s">
        <v>20</v>
      </c>
      <c r="K58" t="s">
        <v>21</v>
      </c>
      <c r="L58">
        <v>1163</v>
      </c>
      <c r="M58">
        <v>3</v>
      </c>
      <c r="N58">
        <v>3128.1</v>
      </c>
      <c r="O58" t="s">
        <v>68</v>
      </c>
    </row>
    <row r="59" spans="1:15" x14ac:dyDescent="0.3">
      <c r="A59">
        <v>58</v>
      </c>
      <c r="B59" s="1">
        <v>45693</v>
      </c>
      <c r="C59" t="s">
        <v>15</v>
      </c>
      <c r="D59" t="s">
        <v>29</v>
      </c>
      <c r="E59">
        <v>23</v>
      </c>
      <c r="F59" t="s">
        <v>30</v>
      </c>
      <c r="G59" t="s">
        <v>116</v>
      </c>
      <c r="H59" t="s">
        <v>71</v>
      </c>
      <c r="I59" t="s">
        <v>116</v>
      </c>
      <c r="J59" t="s">
        <v>20</v>
      </c>
      <c r="K59" t="s">
        <v>21</v>
      </c>
      <c r="L59">
        <v>1393</v>
      </c>
      <c r="M59">
        <v>4</v>
      </c>
      <c r="N59">
        <v>5435.3</v>
      </c>
      <c r="O59" t="s">
        <v>68</v>
      </c>
    </row>
    <row r="60" spans="1:15" x14ac:dyDescent="0.3">
      <c r="A60">
        <v>59</v>
      </c>
      <c r="B60" s="1">
        <v>45672</v>
      </c>
      <c r="C60" t="s">
        <v>81</v>
      </c>
      <c r="D60" t="s">
        <v>29</v>
      </c>
      <c r="E60">
        <v>7</v>
      </c>
      <c r="F60" t="s">
        <v>17</v>
      </c>
      <c r="G60" t="s">
        <v>113</v>
      </c>
      <c r="H60" t="s">
        <v>114</v>
      </c>
      <c r="I60" t="s">
        <v>113</v>
      </c>
      <c r="J60" t="s">
        <v>115</v>
      </c>
      <c r="K60" t="s">
        <v>21</v>
      </c>
      <c r="L60">
        <v>722</v>
      </c>
      <c r="M60">
        <v>4</v>
      </c>
      <c r="N60">
        <v>2222.6999999999998</v>
      </c>
      <c r="O60" t="s">
        <v>42</v>
      </c>
    </row>
    <row r="61" spans="1:15" x14ac:dyDescent="0.3">
      <c r="A61">
        <v>60</v>
      </c>
      <c r="B61" s="1">
        <v>45963</v>
      </c>
      <c r="C61" t="s">
        <v>72</v>
      </c>
      <c r="D61" t="s">
        <v>95</v>
      </c>
      <c r="E61">
        <v>19</v>
      </c>
      <c r="F61" t="s">
        <v>47</v>
      </c>
      <c r="G61" t="s">
        <v>117</v>
      </c>
      <c r="H61" t="s">
        <v>19</v>
      </c>
      <c r="I61" t="s">
        <v>118</v>
      </c>
      <c r="J61" t="s">
        <v>20</v>
      </c>
      <c r="K61" t="s">
        <v>21</v>
      </c>
      <c r="L61">
        <v>2029</v>
      </c>
      <c r="M61">
        <v>4</v>
      </c>
      <c r="N61">
        <v>8088.2</v>
      </c>
      <c r="O61" t="s">
        <v>42</v>
      </c>
    </row>
    <row r="62" spans="1:15" x14ac:dyDescent="0.3">
      <c r="A62">
        <v>61</v>
      </c>
      <c r="B62" s="1">
        <v>45919</v>
      </c>
      <c r="C62" t="s">
        <v>82</v>
      </c>
      <c r="D62" t="s">
        <v>54</v>
      </c>
      <c r="E62">
        <v>14</v>
      </c>
      <c r="F62" t="s">
        <v>62</v>
      </c>
      <c r="G62" t="s">
        <v>75</v>
      </c>
      <c r="H62" t="s">
        <v>76</v>
      </c>
      <c r="I62" t="s">
        <v>77</v>
      </c>
      <c r="J62" t="s">
        <v>78</v>
      </c>
      <c r="K62" t="s">
        <v>41</v>
      </c>
      <c r="L62">
        <v>723</v>
      </c>
      <c r="M62">
        <v>4</v>
      </c>
      <c r="N62">
        <v>3137.9</v>
      </c>
      <c r="O62" t="s">
        <v>22</v>
      </c>
    </row>
    <row r="63" spans="1:15" x14ac:dyDescent="0.3">
      <c r="A63">
        <v>62</v>
      </c>
      <c r="B63" s="1">
        <v>46020</v>
      </c>
      <c r="C63" t="s">
        <v>105</v>
      </c>
      <c r="D63" t="s">
        <v>44</v>
      </c>
      <c r="E63">
        <v>17</v>
      </c>
      <c r="F63" t="s">
        <v>47</v>
      </c>
      <c r="G63" t="s">
        <v>31</v>
      </c>
      <c r="H63" t="s">
        <v>19</v>
      </c>
      <c r="I63" t="s">
        <v>32</v>
      </c>
      <c r="J63" t="s">
        <v>20</v>
      </c>
      <c r="K63" t="s">
        <v>21</v>
      </c>
      <c r="L63">
        <v>2036</v>
      </c>
      <c r="M63">
        <v>2</v>
      </c>
      <c r="N63">
        <v>5078.3</v>
      </c>
      <c r="O63" t="s">
        <v>22</v>
      </c>
    </row>
    <row r="64" spans="1:15" x14ac:dyDescent="0.3">
      <c r="A64">
        <v>63</v>
      </c>
      <c r="B64" s="1">
        <v>45693</v>
      </c>
      <c r="C64" t="s">
        <v>15</v>
      </c>
      <c r="D64" t="s">
        <v>29</v>
      </c>
      <c r="E64">
        <v>15</v>
      </c>
      <c r="F64" t="s">
        <v>62</v>
      </c>
      <c r="G64" t="s">
        <v>102</v>
      </c>
      <c r="H64" t="s">
        <v>34</v>
      </c>
      <c r="I64" t="s">
        <v>35</v>
      </c>
      <c r="J64" t="s">
        <v>36</v>
      </c>
      <c r="K64" t="s">
        <v>36</v>
      </c>
      <c r="L64">
        <v>1602</v>
      </c>
      <c r="M64">
        <v>4</v>
      </c>
      <c r="N64">
        <v>6076.5</v>
      </c>
      <c r="O64" t="s">
        <v>27</v>
      </c>
    </row>
    <row r="65" spans="1:15" x14ac:dyDescent="0.3">
      <c r="A65">
        <v>64</v>
      </c>
      <c r="B65" s="1">
        <v>45816</v>
      </c>
      <c r="C65" t="s">
        <v>67</v>
      </c>
      <c r="D65" t="s">
        <v>95</v>
      </c>
      <c r="E65">
        <v>23</v>
      </c>
      <c r="F65" t="s">
        <v>30</v>
      </c>
      <c r="G65" t="s">
        <v>119</v>
      </c>
      <c r="H65" t="s">
        <v>87</v>
      </c>
      <c r="I65" t="s">
        <v>119</v>
      </c>
      <c r="J65" t="s">
        <v>40</v>
      </c>
      <c r="K65" t="s">
        <v>41</v>
      </c>
      <c r="L65">
        <v>1922</v>
      </c>
      <c r="M65">
        <v>4</v>
      </c>
      <c r="N65">
        <v>6815.2</v>
      </c>
      <c r="O65" t="s">
        <v>42</v>
      </c>
    </row>
    <row r="66" spans="1:15" x14ac:dyDescent="0.3">
      <c r="A66">
        <v>65</v>
      </c>
      <c r="B66" s="1">
        <v>45756</v>
      </c>
      <c r="C66" t="s">
        <v>28</v>
      </c>
      <c r="D66" t="s">
        <v>29</v>
      </c>
      <c r="E66">
        <v>15</v>
      </c>
      <c r="F66" t="s">
        <v>62</v>
      </c>
      <c r="G66" t="s">
        <v>120</v>
      </c>
      <c r="H66" t="s">
        <v>19</v>
      </c>
      <c r="I66" t="s">
        <v>121</v>
      </c>
      <c r="J66" t="s">
        <v>20</v>
      </c>
      <c r="K66" t="s">
        <v>21</v>
      </c>
      <c r="L66">
        <v>1972</v>
      </c>
      <c r="M66">
        <v>4</v>
      </c>
      <c r="N66">
        <v>8010.9</v>
      </c>
      <c r="O66" t="s">
        <v>22</v>
      </c>
    </row>
    <row r="67" spans="1:15" x14ac:dyDescent="0.3">
      <c r="A67">
        <v>66</v>
      </c>
      <c r="B67" s="1">
        <v>45938</v>
      </c>
      <c r="C67" t="s">
        <v>23</v>
      </c>
      <c r="D67" t="s">
        <v>29</v>
      </c>
      <c r="E67">
        <v>16</v>
      </c>
      <c r="F67" t="s">
        <v>62</v>
      </c>
      <c r="G67" t="s">
        <v>103</v>
      </c>
      <c r="H67" t="s">
        <v>59</v>
      </c>
      <c r="I67" t="s">
        <v>103</v>
      </c>
      <c r="J67" t="s">
        <v>36</v>
      </c>
      <c r="K67" t="s">
        <v>36</v>
      </c>
      <c r="L67">
        <v>251</v>
      </c>
      <c r="M67">
        <v>4</v>
      </c>
      <c r="N67">
        <v>837.7</v>
      </c>
      <c r="O67" t="s">
        <v>68</v>
      </c>
    </row>
    <row r="68" spans="1:15" x14ac:dyDescent="0.3">
      <c r="A68">
        <v>67</v>
      </c>
      <c r="B68" s="1">
        <v>45884</v>
      </c>
      <c r="C68" t="s">
        <v>37</v>
      </c>
      <c r="D68" t="s">
        <v>54</v>
      </c>
      <c r="E68">
        <v>8</v>
      </c>
      <c r="F68" t="s">
        <v>17</v>
      </c>
      <c r="G68" t="s">
        <v>48</v>
      </c>
      <c r="H68" t="s">
        <v>49</v>
      </c>
      <c r="I68" t="s">
        <v>50</v>
      </c>
      <c r="J68" t="s">
        <v>20</v>
      </c>
      <c r="K68" t="s">
        <v>36</v>
      </c>
      <c r="L68">
        <v>2061</v>
      </c>
      <c r="M68">
        <v>3</v>
      </c>
      <c r="N68">
        <v>6709.1</v>
      </c>
      <c r="O68" t="s">
        <v>22</v>
      </c>
    </row>
    <row r="69" spans="1:15" x14ac:dyDescent="0.3">
      <c r="A69">
        <v>68</v>
      </c>
      <c r="B69" s="1">
        <v>45921</v>
      </c>
      <c r="C69" t="s">
        <v>82</v>
      </c>
      <c r="D69" t="s">
        <v>95</v>
      </c>
      <c r="E69">
        <v>15</v>
      </c>
      <c r="F69" t="s">
        <v>62</v>
      </c>
      <c r="G69" t="s">
        <v>122</v>
      </c>
      <c r="H69" t="s">
        <v>123</v>
      </c>
      <c r="I69" t="s">
        <v>124</v>
      </c>
      <c r="J69" t="s">
        <v>20</v>
      </c>
      <c r="K69" t="s">
        <v>21</v>
      </c>
      <c r="L69">
        <v>2842</v>
      </c>
      <c r="M69">
        <v>4</v>
      </c>
      <c r="N69">
        <v>9166.1</v>
      </c>
      <c r="O69" t="s">
        <v>22</v>
      </c>
    </row>
    <row r="70" spans="1:15" x14ac:dyDescent="0.3">
      <c r="A70">
        <v>69</v>
      </c>
      <c r="B70" s="1">
        <v>45759</v>
      </c>
      <c r="C70" t="s">
        <v>28</v>
      </c>
      <c r="D70" t="s">
        <v>89</v>
      </c>
      <c r="E70">
        <v>8</v>
      </c>
      <c r="F70" t="s">
        <v>17</v>
      </c>
      <c r="G70" t="s">
        <v>55</v>
      </c>
      <c r="H70" t="s">
        <v>56</v>
      </c>
      <c r="I70" t="s">
        <v>57</v>
      </c>
      <c r="J70" t="s">
        <v>20</v>
      </c>
      <c r="K70" t="s">
        <v>21</v>
      </c>
      <c r="L70">
        <v>853</v>
      </c>
      <c r="M70">
        <v>3</v>
      </c>
      <c r="N70">
        <v>1883.6</v>
      </c>
      <c r="O70" t="s">
        <v>68</v>
      </c>
    </row>
    <row r="71" spans="1:15" x14ac:dyDescent="0.3">
      <c r="A71">
        <v>70</v>
      </c>
      <c r="B71" s="1">
        <v>45870</v>
      </c>
      <c r="C71" t="s">
        <v>37</v>
      </c>
      <c r="D71" t="s">
        <v>54</v>
      </c>
      <c r="E71">
        <v>21</v>
      </c>
      <c r="F71" t="s">
        <v>30</v>
      </c>
      <c r="G71" t="s">
        <v>48</v>
      </c>
      <c r="H71" t="s">
        <v>49</v>
      </c>
      <c r="I71" t="s">
        <v>50</v>
      </c>
      <c r="J71" t="s">
        <v>20</v>
      </c>
      <c r="K71" t="s">
        <v>36</v>
      </c>
      <c r="L71">
        <v>2829</v>
      </c>
      <c r="M71">
        <v>5</v>
      </c>
      <c r="N71">
        <v>11698.8</v>
      </c>
      <c r="O71" t="s">
        <v>68</v>
      </c>
    </row>
    <row r="72" spans="1:15" x14ac:dyDescent="0.3">
      <c r="A72">
        <v>71</v>
      </c>
      <c r="B72" s="1">
        <v>45782</v>
      </c>
      <c r="C72" t="s">
        <v>61</v>
      </c>
      <c r="D72" t="s">
        <v>44</v>
      </c>
      <c r="E72">
        <v>19</v>
      </c>
      <c r="F72" t="s">
        <v>47</v>
      </c>
      <c r="G72" t="s">
        <v>103</v>
      </c>
      <c r="H72" t="s">
        <v>59</v>
      </c>
      <c r="I72" t="s">
        <v>103</v>
      </c>
      <c r="J72" t="s">
        <v>36</v>
      </c>
      <c r="K72" t="s">
        <v>36</v>
      </c>
      <c r="L72">
        <v>854</v>
      </c>
      <c r="M72">
        <v>2</v>
      </c>
      <c r="N72">
        <v>2385.1</v>
      </c>
      <c r="O72" t="s">
        <v>27</v>
      </c>
    </row>
    <row r="73" spans="1:15" x14ac:dyDescent="0.3">
      <c r="A73">
        <v>72</v>
      </c>
      <c r="B73" s="1">
        <v>45748</v>
      </c>
      <c r="C73" t="s">
        <v>28</v>
      </c>
      <c r="D73" t="s">
        <v>24</v>
      </c>
      <c r="E73">
        <v>9</v>
      </c>
      <c r="F73" t="s">
        <v>17</v>
      </c>
      <c r="G73" t="s">
        <v>55</v>
      </c>
      <c r="H73" t="s">
        <v>56</v>
      </c>
      <c r="I73" t="s">
        <v>57</v>
      </c>
      <c r="J73" t="s">
        <v>20</v>
      </c>
      <c r="K73" t="s">
        <v>21</v>
      </c>
      <c r="L73">
        <v>2371</v>
      </c>
      <c r="M73">
        <v>4</v>
      </c>
      <c r="N73">
        <v>8487.6</v>
      </c>
      <c r="O73" t="s">
        <v>22</v>
      </c>
    </row>
    <row r="74" spans="1:15" x14ac:dyDescent="0.3">
      <c r="A74">
        <v>73</v>
      </c>
      <c r="B74" s="1">
        <v>45726</v>
      </c>
      <c r="C74" t="s">
        <v>69</v>
      </c>
      <c r="D74" t="s">
        <v>44</v>
      </c>
      <c r="E74">
        <v>20</v>
      </c>
      <c r="F74" t="s">
        <v>47</v>
      </c>
      <c r="G74" t="s">
        <v>48</v>
      </c>
      <c r="H74" t="s">
        <v>49</v>
      </c>
      <c r="I74" t="s">
        <v>50</v>
      </c>
      <c r="J74" t="s">
        <v>20</v>
      </c>
      <c r="K74" t="s">
        <v>36</v>
      </c>
      <c r="L74">
        <v>2153</v>
      </c>
      <c r="M74">
        <v>5</v>
      </c>
      <c r="N74">
        <v>10866.3</v>
      </c>
      <c r="O74" t="s">
        <v>42</v>
      </c>
    </row>
    <row r="75" spans="1:15" x14ac:dyDescent="0.3">
      <c r="A75">
        <v>74</v>
      </c>
      <c r="B75" s="1">
        <v>45916</v>
      </c>
      <c r="C75" t="s">
        <v>82</v>
      </c>
      <c r="D75" t="s">
        <v>24</v>
      </c>
      <c r="E75">
        <v>21</v>
      </c>
      <c r="F75" t="s">
        <v>30</v>
      </c>
      <c r="G75" t="s">
        <v>107</v>
      </c>
      <c r="H75" t="s">
        <v>84</v>
      </c>
      <c r="I75" t="s">
        <v>108</v>
      </c>
      <c r="J75" t="s">
        <v>40</v>
      </c>
      <c r="K75" t="s">
        <v>41</v>
      </c>
      <c r="L75">
        <v>1997</v>
      </c>
      <c r="M75">
        <v>5</v>
      </c>
      <c r="N75">
        <v>8764.2000000000007</v>
      </c>
      <c r="O75" t="s">
        <v>22</v>
      </c>
    </row>
    <row r="76" spans="1:15" x14ac:dyDescent="0.3">
      <c r="A76">
        <v>75</v>
      </c>
      <c r="B76" s="1">
        <v>45790</v>
      </c>
      <c r="C76" t="s">
        <v>61</v>
      </c>
      <c r="D76" t="s">
        <v>24</v>
      </c>
      <c r="E76">
        <v>13</v>
      </c>
      <c r="F76" t="s">
        <v>62</v>
      </c>
      <c r="G76" t="s">
        <v>125</v>
      </c>
      <c r="H76" t="s">
        <v>49</v>
      </c>
      <c r="I76" t="s">
        <v>126</v>
      </c>
      <c r="J76" t="s">
        <v>36</v>
      </c>
      <c r="K76" t="s">
        <v>36</v>
      </c>
      <c r="L76">
        <v>1262</v>
      </c>
      <c r="M76">
        <v>4</v>
      </c>
      <c r="N76">
        <v>4736.3</v>
      </c>
      <c r="O76" t="s">
        <v>68</v>
      </c>
    </row>
    <row r="77" spans="1:15" x14ac:dyDescent="0.3">
      <c r="A77">
        <v>76</v>
      </c>
      <c r="B77" s="1">
        <v>45883</v>
      </c>
      <c r="C77" t="s">
        <v>37</v>
      </c>
      <c r="D77" t="s">
        <v>16</v>
      </c>
      <c r="E77">
        <v>16</v>
      </c>
      <c r="F77" t="s">
        <v>62</v>
      </c>
      <c r="G77" t="s">
        <v>116</v>
      </c>
      <c r="H77" t="s">
        <v>71</v>
      </c>
      <c r="I77" t="s">
        <v>116</v>
      </c>
      <c r="J77" t="s">
        <v>20</v>
      </c>
      <c r="K77" t="s">
        <v>21</v>
      </c>
      <c r="L77">
        <v>567</v>
      </c>
      <c r="M77">
        <v>4</v>
      </c>
      <c r="N77">
        <v>1830.3</v>
      </c>
      <c r="O77" t="s">
        <v>42</v>
      </c>
    </row>
    <row r="78" spans="1:15" x14ac:dyDescent="0.3">
      <c r="A78">
        <v>77</v>
      </c>
      <c r="B78" s="1">
        <v>45699</v>
      </c>
      <c r="C78" t="s">
        <v>15</v>
      </c>
      <c r="D78" t="s">
        <v>24</v>
      </c>
      <c r="E78">
        <v>12</v>
      </c>
      <c r="F78" t="s">
        <v>62</v>
      </c>
      <c r="G78" t="s">
        <v>63</v>
      </c>
      <c r="H78" t="s">
        <v>52</v>
      </c>
      <c r="I78" t="s">
        <v>64</v>
      </c>
      <c r="J78" t="s">
        <v>40</v>
      </c>
      <c r="K78" t="s">
        <v>41</v>
      </c>
      <c r="L78">
        <v>816</v>
      </c>
      <c r="M78">
        <v>3</v>
      </c>
      <c r="N78">
        <v>2259.9</v>
      </c>
      <c r="O78" t="s">
        <v>22</v>
      </c>
    </row>
    <row r="79" spans="1:15" x14ac:dyDescent="0.3">
      <c r="A79">
        <v>78</v>
      </c>
      <c r="B79" s="1">
        <v>45870</v>
      </c>
      <c r="C79" t="s">
        <v>37</v>
      </c>
      <c r="D79" t="s">
        <v>54</v>
      </c>
      <c r="E79">
        <v>7</v>
      </c>
      <c r="F79" t="s">
        <v>17</v>
      </c>
      <c r="G79" t="s">
        <v>106</v>
      </c>
      <c r="H79" t="s">
        <v>19</v>
      </c>
      <c r="I79" t="s">
        <v>66</v>
      </c>
      <c r="J79" t="s">
        <v>20</v>
      </c>
      <c r="K79" t="s">
        <v>21</v>
      </c>
      <c r="L79">
        <v>1919</v>
      </c>
      <c r="M79">
        <v>4</v>
      </c>
      <c r="N79">
        <v>7132.9</v>
      </c>
      <c r="O79" t="s">
        <v>68</v>
      </c>
    </row>
    <row r="80" spans="1:15" x14ac:dyDescent="0.3">
      <c r="A80">
        <v>79</v>
      </c>
      <c r="B80" s="1">
        <v>45873</v>
      </c>
      <c r="C80" t="s">
        <v>37</v>
      </c>
      <c r="D80" t="s">
        <v>44</v>
      </c>
      <c r="E80">
        <v>18</v>
      </c>
      <c r="F80" t="s">
        <v>47</v>
      </c>
      <c r="G80" t="s">
        <v>109</v>
      </c>
      <c r="H80" t="s">
        <v>56</v>
      </c>
      <c r="I80" t="s">
        <v>110</v>
      </c>
      <c r="J80" t="s">
        <v>20</v>
      </c>
      <c r="K80" t="s">
        <v>21</v>
      </c>
      <c r="L80">
        <v>1845</v>
      </c>
      <c r="M80">
        <v>5</v>
      </c>
      <c r="N80">
        <v>9624</v>
      </c>
      <c r="O80" t="s">
        <v>27</v>
      </c>
    </row>
    <row r="81" spans="1:15" x14ac:dyDescent="0.3">
      <c r="A81">
        <v>80</v>
      </c>
      <c r="B81" s="1">
        <v>45661</v>
      </c>
      <c r="C81" t="s">
        <v>81</v>
      </c>
      <c r="D81" t="s">
        <v>89</v>
      </c>
      <c r="E81">
        <v>23</v>
      </c>
      <c r="F81" t="s">
        <v>30</v>
      </c>
      <c r="G81" t="s">
        <v>88</v>
      </c>
      <c r="H81" t="s">
        <v>87</v>
      </c>
      <c r="I81" t="s">
        <v>88</v>
      </c>
      <c r="J81" t="s">
        <v>101</v>
      </c>
      <c r="K81" t="s">
        <v>41</v>
      </c>
      <c r="L81">
        <v>1690</v>
      </c>
      <c r="M81">
        <v>4</v>
      </c>
      <c r="N81">
        <v>6475.3</v>
      </c>
      <c r="O81" t="s">
        <v>68</v>
      </c>
    </row>
    <row r="82" spans="1:15" x14ac:dyDescent="0.3">
      <c r="A82">
        <v>81</v>
      </c>
      <c r="B82" s="1">
        <v>45966</v>
      </c>
      <c r="C82" t="s">
        <v>72</v>
      </c>
      <c r="D82" t="s">
        <v>29</v>
      </c>
      <c r="E82">
        <v>21</v>
      </c>
      <c r="F82" t="s">
        <v>30</v>
      </c>
      <c r="G82" t="s">
        <v>63</v>
      </c>
      <c r="H82" t="s">
        <v>52</v>
      </c>
      <c r="I82" t="s">
        <v>64</v>
      </c>
      <c r="J82" t="s">
        <v>40</v>
      </c>
      <c r="K82" t="s">
        <v>41</v>
      </c>
      <c r="L82">
        <v>1153</v>
      </c>
      <c r="M82">
        <v>4</v>
      </c>
      <c r="N82">
        <v>4464.8</v>
      </c>
      <c r="O82" t="s">
        <v>68</v>
      </c>
    </row>
    <row r="83" spans="1:15" x14ac:dyDescent="0.3">
      <c r="A83">
        <v>82</v>
      </c>
      <c r="B83" s="1">
        <v>45857</v>
      </c>
      <c r="C83" t="s">
        <v>43</v>
      </c>
      <c r="D83" t="s">
        <v>89</v>
      </c>
      <c r="E83">
        <v>10</v>
      </c>
      <c r="F83" t="s">
        <v>17</v>
      </c>
      <c r="G83" t="s">
        <v>25</v>
      </c>
      <c r="H83" t="s">
        <v>19</v>
      </c>
      <c r="I83" t="s">
        <v>26</v>
      </c>
      <c r="J83" t="s">
        <v>20</v>
      </c>
      <c r="K83" t="s">
        <v>21</v>
      </c>
      <c r="L83">
        <v>1626</v>
      </c>
      <c r="M83">
        <v>4</v>
      </c>
      <c r="N83">
        <v>6842.9</v>
      </c>
      <c r="O83" t="s">
        <v>68</v>
      </c>
    </row>
    <row r="84" spans="1:15" x14ac:dyDescent="0.3">
      <c r="A84">
        <v>83</v>
      </c>
      <c r="B84" s="1">
        <v>45931</v>
      </c>
      <c r="C84" t="s">
        <v>23</v>
      </c>
      <c r="D84" t="s">
        <v>29</v>
      </c>
      <c r="E84">
        <v>8</v>
      </c>
      <c r="F84" t="s">
        <v>17</v>
      </c>
      <c r="G84" t="s">
        <v>107</v>
      </c>
      <c r="H84" t="s">
        <v>84</v>
      </c>
      <c r="I84" t="s">
        <v>108</v>
      </c>
      <c r="J84" t="s">
        <v>40</v>
      </c>
      <c r="K84" t="s">
        <v>41</v>
      </c>
      <c r="L84">
        <v>360</v>
      </c>
      <c r="M84">
        <v>4</v>
      </c>
      <c r="N84">
        <v>1441.9</v>
      </c>
      <c r="O84" t="s">
        <v>27</v>
      </c>
    </row>
    <row r="85" spans="1:15" x14ac:dyDescent="0.3">
      <c r="A85">
        <v>84</v>
      </c>
      <c r="B85" s="1">
        <v>45877</v>
      </c>
      <c r="C85" t="s">
        <v>37</v>
      </c>
      <c r="D85" t="s">
        <v>54</v>
      </c>
      <c r="E85">
        <v>18</v>
      </c>
      <c r="F85" t="s">
        <v>47</v>
      </c>
      <c r="G85" t="s">
        <v>127</v>
      </c>
      <c r="H85" t="s">
        <v>99</v>
      </c>
      <c r="I85" t="s">
        <v>128</v>
      </c>
      <c r="J85" t="s">
        <v>40</v>
      </c>
      <c r="K85" t="s">
        <v>41</v>
      </c>
      <c r="L85">
        <v>805</v>
      </c>
      <c r="M85">
        <v>4</v>
      </c>
      <c r="N85">
        <v>3016.1</v>
      </c>
      <c r="O85" t="s">
        <v>42</v>
      </c>
    </row>
    <row r="86" spans="1:15" x14ac:dyDescent="0.3">
      <c r="A86">
        <v>85</v>
      </c>
      <c r="B86" s="1">
        <v>45766</v>
      </c>
      <c r="C86" t="s">
        <v>28</v>
      </c>
      <c r="D86" t="s">
        <v>89</v>
      </c>
      <c r="E86">
        <v>14</v>
      </c>
      <c r="F86" t="s">
        <v>62</v>
      </c>
      <c r="G86" t="s">
        <v>129</v>
      </c>
      <c r="H86" t="s">
        <v>114</v>
      </c>
      <c r="I86" t="s">
        <v>129</v>
      </c>
      <c r="J86" t="s">
        <v>115</v>
      </c>
      <c r="K86" t="s">
        <v>21</v>
      </c>
      <c r="L86">
        <v>2112</v>
      </c>
      <c r="M86">
        <v>4</v>
      </c>
      <c r="N86">
        <v>7335.7</v>
      </c>
      <c r="O86" t="s">
        <v>68</v>
      </c>
    </row>
    <row r="87" spans="1:15" x14ac:dyDescent="0.3">
      <c r="A87">
        <v>86</v>
      </c>
      <c r="B87" s="1">
        <v>45787</v>
      </c>
      <c r="C87" t="s">
        <v>61</v>
      </c>
      <c r="D87" t="s">
        <v>89</v>
      </c>
      <c r="E87">
        <v>17</v>
      </c>
      <c r="F87" t="s">
        <v>47</v>
      </c>
      <c r="G87" t="s">
        <v>33</v>
      </c>
      <c r="H87" t="s">
        <v>34</v>
      </c>
      <c r="I87" t="s">
        <v>35</v>
      </c>
      <c r="J87" t="s">
        <v>36</v>
      </c>
      <c r="K87" t="s">
        <v>36</v>
      </c>
      <c r="L87">
        <v>585</v>
      </c>
      <c r="M87">
        <v>4</v>
      </c>
      <c r="N87">
        <v>2085.4</v>
      </c>
      <c r="O87" t="s">
        <v>27</v>
      </c>
    </row>
    <row r="88" spans="1:15" x14ac:dyDescent="0.3">
      <c r="A88">
        <v>87</v>
      </c>
      <c r="B88" s="1">
        <v>45990</v>
      </c>
      <c r="C88" t="s">
        <v>72</v>
      </c>
      <c r="D88" t="s">
        <v>89</v>
      </c>
      <c r="E88">
        <v>12</v>
      </c>
      <c r="F88" t="s">
        <v>62</v>
      </c>
      <c r="G88" t="s">
        <v>55</v>
      </c>
      <c r="H88" t="s">
        <v>56</v>
      </c>
      <c r="I88" t="s">
        <v>57</v>
      </c>
      <c r="J88" t="s">
        <v>20</v>
      </c>
      <c r="K88" t="s">
        <v>21</v>
      </c>
      <c r="L88">
        <v>531</v>
      </c>
      <c r="M88">
        <v>3</v>
      </c>
      <c r="N88">
        <v>1499.9</v>
      </c>
      <c r="O88" t="s">
        <v>22</v>
      </c>
    </row>
    <row r="89" spans="1:15" x14ac:dyDescent="0.3">
      <c r="A89">
        <v>88</v>
      </c>
      <c r="B89" s="1">
        <v>45976</v>
      </c>
      <c r="C89" t="s">
        <v>72</v>
      </c>
      <c r="D89" t="s">
        <v>89</v>
      </c>
      <c r="E89">
        <v>12</v>
      </c>
      <c r="F89" t="s">
        <v>62</v>
      </c>
      <c r="G89" t="s">
        <v>25</v>
      </c>
      <c r="H89" t="s">
        <v>19</v>
      </c>
      <c r="I89" t="s">
        <v>26</v>
      </c>
      <c r="J89" t="s">
        <v>20</v>
      </c>
      <c r="K89" t="s">
        <v>21</v>
      </c>
      <c r="L89">
        <v>874</v>
      </c>
      <c r="M89">
        <v>3</v>
      </c>
      <c r="N89">
        <v>2588</v>
      </c>
      <c r="O89" t="s">
        <v>27</v>
      </c>
    </row>
    <row r="90" spans="1:15" x14ac:dyDescent="0.3">
      <c r="A90">
        <v>89</v>
      </c>
      <c r="B90" s="1">
        <v>46016</v>
      </c>
      <c r="C90" t="s">
        <v>105</v>
      </c>
      <c r="D90" t="s">
        <v>16</v>
      </c>
      <c r="E90">
        <v>11</v>
      </c>
      <c r="F90" t="s">
        <v>17</v>
      </c>
      <c r="G90" t="s">
        <v>48</v>
      </c>
      <c r="H90" t="s">
        <v>49</v>
      </c>
      <c r="I90" t="s">
        <v>50</v>
      </c>
      <c r="J90" t="s">
        <v>20</v>
      </c>
      <c r="K90" t="s">
        <v>36</v>
      </c>
      <c r="L90">
        <v>1299</v>
      </c>
      <c r="M90">
        <v>4</v>
      </c>
      <c r="N90">
        <v>4447.2</v>
      </c>
      <c r="O90" t="s">
        <v>27</v>
      </c>
    </row>
    <row r="91" spans="1:15" x14ac:dyDescent="0.3">
      <c r="A91">
        <v>90</v>
      </c>
      <c r="B91" s="1">
        <v>45713</v>
      </c>
      <c r="C91" t="s">
        <v>15</v>
      </c>
      <c r="D91" t="s">
        <v>24</v>
      </c>
      <c r="E91">
        <v>18</v>
      </c>
      <c r="F91" t="s">
        <v>47</v>
      </c>
      <c r="G91" t="s">
        <v>90</v>
      </c>
      <c r="H91" t="s">
        <v>91</v>
      </c>
      <c r="I91" t="s">
        <v>90</v>
      </c>
      <c r="J91" t="s">
        <v>20</v>
      </c>
      <c r="K91" t="s">
        <v>21</v>
      </c>
      <c r="L91">
        <v>2620</v>
      </c>
      <c r="M91">
        <v>3</v>
      </c>
      <c r="N91">
        <v>7599.5</v>
      </c>
      <c r="O91" t="s">
        <v>68</v>
      </c>
    </row>
    <row r="92" spans="1:15" x14ac:dyDescent="0.3">
      <c r="A92">
        <v>91</v>
      </c>
      <c r="B92" s="1">
        <v>45696</v>
      </c>
      <c r="C92" t="s">
        <v>15</v>
      </c>
      <c r="D92" t="s">
        <v>89</v>
      </c>
      <c r="E92">
        <v>9</v>
      </c>
      <c r="F92" t="s">
        <v>17</v>
      </c>
      <c r="G92" t="s">
        <v>130</v>
      </c>
      <c r="H92" t="s">
        <v>56</v>
      </c>
      <c r="I92" t="s">
        <v>131</v>
      </c>
      <c r="J92" t="s">
        <v>20</v>
      </c>
      <c r="K92" t="s">
        <v>21</v>
      </c>
      <c r="L92">
        <v>2675</v>
      </c>
      <c r="M92">
        <v>3</v>
      </c>
      <c r="N92">
        <v>7887.6</v>
      </c>
      <c r="O92" t="s">
        <v>42</v>
      </c>
    </row>
    <row r="93" spans="1:15" x14ac:dyDescent="0.3">
      <c r="A93">
        <v>92</v>
      </c>
      <c r="B93" s="1">
        <v>45679</v>
      </c>
      <c r="C93" t="s">
        <v>81</v>
      </c>
      <c r="D93" t="s">
        <v>29</v>
      </c>
      <c r="E93">
        <v>8</v>
      </c>
      <c r="F93" t="s">
        <v>17</v>
      </c>
      <c r="G93" t="s">
        <v>51</v>
      </c>
      <c r="H93" t="s">
        <v>52</v>
      </c>
      <c r="I93" t="s">
        <v>53</v>
      </c>
      <c r="J93" t="s">
        <v>40</v>
      </c>
      <c r="K93" t="s">
        <v>41</v>
      </c>
      <c r="L93">
        <v>1672</v>
      </c>
      <c r="M93">
        <v>5</v>
      </c>
      <c r="N93">
        <v>7205.2</v>
      </c>
      <c r="O93" t="s">
        <v>42</v>
      </c>
    </row>
    <row r="94" spans="1:15" x14ac:dyDescent="0.3">
      <c r="A94">
        <v>93</v>
      </c>
      <c r="B94" s="1">
        <v>45989</v>
      </c>
      <c r="C94" t="s">
        <v>72</v>
      </c>
      <c r="D94" t="s">
        <v>54</v>
      </c>
      <c r="E94">
        <v>9</v>
      </c>
      <c r="F94" t="s">
        <v>17</v>
      </c>
      <c r="G94" t="s">
        <v>119</v>
      </c>
      <c r="H94" t="s">
        <v>87</v>
      </c>
      <c r="I94" t="s">
        <v>119</v>
      </c>
      <c r="J94" t="s">
        <v>40</v>
      </c>
      <c r="K94" t="s">
        <v>41</v>
      </c>
      <c r="L94">
        <v>1647</v>
      </c>
      <c r="M94">
        <v>2</v>
      </c>
      <c r="N94">
        <v>4597.3</v>
      </c>
      <c r="O94" t="s">
        <v>68</v>
      </c>
    </row>
    <row r="95" spans="1:15" x14ac:dyDescent="0.3">
      <c r="A95">
        <v>94</v>
      </c>
      <c r="B95" s="1">
        <v>45843</v>
      </c>
      <c r="C95" t="s">
        <v>43</v>
      </c>
      <c r="D95" t="s">
        <v>89</v>
      </c>
      <c r="E95">
        <v>11</v>
      </c>
      <c r="F95" t="s">
        <v>17</v>
      </c>
      <c r="G95" t="s">
        <v>102</v>
      </c>
      <c r="H95" t="s">
        <v>34</v>
      </c>
      <c r="I95" t="s">
        <v>35</v>
      </c>
      <c r="J95" t="s">
        <v>36</v>
      </c>
      <c r="K95" t="s">
        <v>36</v>
      </c>
      <c r="L95">
        <v>2853</v>
      </c>
      <c r="M95">
        <v>4</v>
      </c>
      <c r="N95">
        <v>12550.3</v>
      </c>
      <c r="O95" t="s">
        <v>68</v>
      </c>
    </row>
    <row r="96" spans="1:15" x14ac:dyDescent="0.3">
      <c r="A96">
        <v>95</v>
      </c>
      <c r="B96" s="1">
        <v>45991</v>
      </c>
      <c r="C96" t="s">
        <v>72</v>
      </c>
      <c r="D96" t="s">
        <v>95</v>
      </c>
      <c r="E96">
        <v>19</v>
      </c>
      <c r="F96" t="s">
        <v>47</v>
      </c>
      <c r="G96" t="s">
        <v>86</v>
      </c>
      <c r="H96" t="s">
        <v>87</v>
      </c>
      <c r="I96" t="s">
        <v>88</v>
      </c>
      <c r="J96" t="s">
        <v>40</v>
      </c>
      <c r="K96" t="s">
        <v>41</v>
      </c>
      <c r="L96">
        <v>1356</v>
      </c>
      <c r="M96">
        <v>5</v>
      </c>
      <c r="N96">
        <v>6497</v>
      </c>
      <c r="O96" t="s">
        <v>68</v>
      </c>
    </row>
    <row r="97" spans="1:15" x14ac:dyDescent="0.3">
      <c r="A97">
        <v>96</v>
      </c>
      <c r="B97" s="1">
        <v>45795</v>
      </c>
      <c r="C97" t="s">
        <v>61</v>
      </c>
      <c r="D97" t="s">
        <v>95</v>
      </c>
      <c r="E97">
        <v>14</v>
      </c>
      <c r="F97" t="s">
        <v>62</v>
      </c>
      <c r="G97" t="s">
        <v>96</v>
      </c>
      <c r="H97" t="s">
        <v>76</v>
      </c>
      <c r="I97" t="s">
        <v>97</v>
      </c>
      <c r="J97" t="s">
        <v>78</v>
      </c>
      <c r="K97" t="s">
        <v>41</v>
      </c>
      <c r="L97">
        <v>1570</v>
      </c>
      <c r="M97">
        <v>3</v>
      </c>
      <c r="N97">
        <v>5804.5</v>
      </c>
      <c r="O97" t="s">
        <v>27</v>
      </c>
    </row>
    <row r="98" spans="1:15" x14ac:dyDescent="0.3">
      <c r="A98">
        <v>97</v>
      </c>
      <c r="B98" s="1">
        <v>45782</v>
      </c>
      <c r="C98" t="s">
        <v>61</v>
      </c>
      <c r="D98" t="s">
        <v>44</v>
      </c>
      <c r="E98">
        <v>16</v>
      </c>
      <c r="F98" t="s">
        <v>62</v>
      </c>
      <c r="G98" t="s">
        <v>125</v>
      </c>
      <c r="H98" t="s">
        <v>49</v>
      </c>
      <c r="I98" t="s">
        <v>126</v>
      </c>
      <c r="J98" t="s">
        <v>36</v>
      </c>
      <c r="K98" t="s">
        <v>36</v>
      </c>
      <c r="L98">
        <v>2153</v>
      </c>
      <c r="M98">
        <v>5</v>
      </c>
      <c r="N98">
        <v>10089.700000000001</v>
      </c>
      <c r="O98" t="s">
        <v>68</v>
      </c>
    </row>
    <row r="99" spans="1:15" x14ac:dyDescent="0.3">
      <c r="A99">
        <v>98</v>
      </c>
      <c r="B99" s="1">
        <v>45911</v>
      </c>
      <c r="C99" t="s">
        <v>82</v>
      </c>
      <c r="D99" t="s">
        <v>16</v>
      </c>
      <c r="E99">
        <v>14</v>
      </c>
      <c r="F99" t="s">
        <v>62</v>
      </c>
      <c r="G99" t="s">
        <v>25</v>
      </c>
      <c r="H99" t="s">
        <v>19</v>
      </c>
      <c r="I99" t="s">
        <v>26</v>
      </c>
      <c r="J99" t="s">
        <v>20</v>
      </c>
      <c r="K99" t="s">
        <v>21</v>
      </c>
      <c r="L99">
        <v>1581</v>
      </c>
      <c r="M99">
        <v>3</v>
      </c>
      <c r="N99">
        <v>4931</v>
      </c>
      <c r="O99" t="s">
        <v>42</v>
      </c>
    </row>
    <row r="100" spans="1:15" x14ac:dyDescent="0.3">
      <c r="A100">
        <v>99</v>
      </c>
      <c r="B100" s="1">
        <v>45801</v>
      </c>
      <c r="C100" t="s">
        <v>61</v>
      </c>
      <c r="D100" t="s">
        <v>89</v>
      </c>
      <c r="E100">
        <v>8</v>
      </c>
      <c r="F100" t="s">
        <v>17</v>
      </c>
      <c r="G100" t="s">
        <v>113</v>
      </c>
      <c r="H100" t="s">
        <v>114</v>
      </c>
      <c r="I100" t="s">
        <v>113</v>
      </c>
      <c r="J100" t="s">
        <v>115</v>
      </c>
      <c r="K100" t="s">
        <v>21</v>
      </c>
      <c r="L100">
        <v>2691</v>
      </c>
      <c r="M100">
        <v>4</v>
      </c>
      <c r="N100">
        <v>9499.4</v>
      </c>
      <c r="O100" t="s">
        <v>22</v>
      </c>
    </row>
    <row r="101" spans="1:15" x14ac:dyDescent="0.3">
      <c r="A101">
        <v>100</v>
      </c>
      <c r="B101" s="1">
        <v>45866</v>
      </c>
      <c r="C101" t="s">
        <v>43</v>
      </c>
      <c r="D101" t="s">
        <v>44</v>
      </c>
      <c r="E101">
        <v>21</v>
      </c>
      <c r="F101" t="s">
        <v>30</v>
      </c>
      <c r="G101" t="s">
        <v>111</v>
      </c>
      <c r="H101" t="s">
        <v>71</v>
      </c>
      <c r="I101" t="s">
        <v>112</v>
      </c>
      <c r="J101" t="s">
        <v>20</v>
      </c>
      <c r="K101" t="s">
        <v>21</v>
      </c>
      <c r="L101">
        <v>2251</v>
      </c>
      <c r="M101">
        <v>5</v>
      </c>
      <c r="N101">
        <v>10907.1</v>
      </c>
      <c r="O101" t="s">
        <v>68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F8A84-61E2-4F16-97A3-D004F330BEAB}">
  <dimension ref="A2:L37"/>
  <sheetViews>
    <sheetView workbookViewId="0">
      <selection activeCell="AJ18" sqref="AJ18"/>
    </sheetView>
  </sheetViews>
  <sheetFormatPr defaultRowHeight="14.4" x14ac:dyDescent="0.3"/>
  <cols>
    <col min="1" max="1" width="12.5546875" bestFit="1" customWidth="1"/>
    <col min="2" max="2" width="22.5546875" bestFit="1" customWidth="1"/>
    <col min="4" max="4" width="27.33203125" bestFit="1" customWidth="1"/>
    <col min="5" max="5" width="11.77734375" bestFit="1" customWidth="1"/>
    <col min="7" max="7" width="13.5546875" bestFit="1" customWidth="1"/>
    <col min="8" max="8" width="11.77734375" bestFit="1" customWidth="1"/>
    <col min="11" max="11" width="12.5546875" bestFit="1" customWidth="1"/>
    <col min="12" max="12" width="22.5546875" bestFit="1" customWidth="1"/>
  </cols>
  <sheetData>
    <row r="2" spans="1:12" x14ac:dyDescent="0.3">
      <c r="A2" s="15" t="s">
        <v>144</v>
      </c>
      <c r="B2" t="s">
        <v>146</v>
      </c>
    </row>
    <row r="3" spans="1:12" x14ac:dyDescent="0.3">
      <c r="A3" s="16" t="s">
        <v>81</v>
      </c>
      <c r="B3" s="17">
        <v>31867.3</v>
      </c>
    </row>
    <row r="4" spans="1:12" x14ac:dyDescent="0.3">
      <c r="A4" s="16" t="s">
        <v>15</v>
      </c>
      <c r="B4" s="17">
        <v>57263.5</v>
      </c>
    </row>
    <row r="5" spans="1:12" x14ac:dyDescent="0.3">
      <c r="A5" s="16" t="s">
        <v>69</v>
      </c>
      <c r="B5" s="17">
        <v>22670.899999999998</v>
      </c>
      <c r="K5" s="15" t="s">
        <v>144</v>
      </c>
      <c r="L5" t="s">
        <v>146</v>
      </c>
    </row>
    <row r="6" spans="1:12" x14ac:dyDescent="0.3">
      <c r="A6" s="16" t="s">
        <v>28</v>
      </c>
      <c r="B6" s="17">
        <v>82450.100000000006</v>
      </c>
      <c r="K6" s="16" t="s">
        <v>20</v>
      </c>
      <c r="L6" s="17">
        <v>261437.6</v>
      </c>
    </row>
    <row r="7" spans="1:12" x14ac:dyDescent="0.3">
      <c r="A7" s="16" t="s">
        <v>61</v>
      </c>
      <c r="B7" s="17">
        <v>59319.700000000004</v>
      </c>
      <c r="D7" s="15" t="s">
        <v>144</v>
      </c>
      <c r="E7" t="s">
        <v>148</v>
      </c>
      <c r="K7" s="16" t="s">
        <v>78</v>
      </c>
      <c r="L7" s="17">
        <v>32401.5</v>
      </c>
    </row>
    <row r="8" spans="1:12" x14ac:dyDescent="0.3">
      <c r="A8" s="16" t="s">
        <v>67</v>
      </c>
      <c r="B8" s="17">
        <v>14936.5</v>
      </c>
      <c r="D8" s="16" t="s">
        <v>25</v>
      </c>
      <c r="E8" s="17">
        <v>6517</v>
      </c>
      <c r="K8" s="16" t="s">
        <v>115</v>
      </c>
      <c r="L8" s="17">
        <v>28834.400000000001</v>
      </c>
    </row>
    <row r="9" spans="1:12" x14ac:dyDescent="0.3">
      <c r="A9" s="16" t="s">
        <v>43</v>
      </c>
      <c r="B9" s="17">
        <v>59438.499999999993</v>
      </c>
      <c r="D9" s="16" t="s">
        <v>113</v>
      </c>
      <c r="E9" s="17">
        <v>6260</v>
      </c>
      <c r="K9" s="16" t="s">
        <v>40</v>
      </c>
      <c r="L9" s="17">
        <v>128668</v>
      </c>
    </row>
    <row r="10" spans="1:12" x14ac:dyDescent="0.3">
      <c r="A10" s="16" t="s">
        <v>37</v>
      </c>
      <c r="B10" s="17">
        <v>62778.5</v>
      </c>
      <c r="D10" s="16" t="s">
        <v>31</v>
      </c>
      <c r="E10" s="17">
        <v>5325</v>
      </c>
      <c r="K10" s="16" t="s">
        <v>36</v>
      </c>
      <c r="L10" s="17">
        <v>78385</v>
      </c>
    </row>
    <row r="11" spans="1:12" x14ac:dyDescent="0.3">
      <c r="A11" s="16" t="s">
        <v>82</v>
      </c>
      <c r="B11" s="17">
        <v>47330</v>
      </c>
      <c r="D11" s="16" t="s">
        <v>102</v>
      </c>
      <c r="E11" s="17">
        <v>10533</v>
      </c>
      <c r="K11" s="16" t="s">
        <v>101</v>
      </c>
      <c r="L11" s="17">
        <v>9018.6</v>
      </c>
    </row>
    <row r="12" spans="1:12" x14ac:dyDescent="0.3">
      <c r="A12" s="16" t="s">
        <v>23</v>
      </c>
      <c r="B12" s="17">
        <v>24117.100000000002</v>
      </c>
      <c r="D12" s="16" t="s">
        <v>93</v>
      </c>
      <c r="E12" s="17">
        <v>4908</v>
      </c>
      <c r="K12" s="16" t="s">
        <v>145</v>
      </c>
      <c r="L12" s="17">
        <v>538745.1</v>
      </c>
    </row>
    <row r="13" spans="1:12" x14ac:dyDescent="0.3">
      <c r="A13" s="16" t="s">
        <v>72</v>
      </c>
      <c r="B13" s="17">
        <v>39102.400000000001</v>
      </c>
      <c r="D13" s="16" t="s">
        <v>63</v>
      </c>
      <c r="E13" s="17">
        <v>5210</v>
      </c>
    </row>
    <row r="14" spans="1:12" x14ac:dyDescent="0.3">
      <c r="A14" s="16" t="s">
        <v>105</v>
      </c>
      <c r="B14" s="17">
        <v>37470.6</v>
      </c>
      <c r="D14" s="16" t="s">
        <v>55</v>
      </c>
      <c r="E14" s="17">
        <v>5939</v>
      </c>
    </row>
    <row r="15" spans="1:12" x14ac:dyDescent="0.3">
      <c r="A15" s="16" t="s">
        <v>145</v>
      </c>
      <c r="B15" s="17">
        <v>538745.1</v>
      </c>
      <c r="D15" s="16" t="s">
        <v>96</v>
      </c>
      <c r="E15" s="17">
        <v>5071</v>
      </c>
    </row>
    <row r="16" spans="1:12" x14ac:dyDescent="0.3">
      <c r="D16" s="16" t="s">
        <v>48</v>
      </c>
      <c r="E16" s="17">
        <v>10978</v>
      </c>
    </row>
    <row r="17" spans="4:8" x14ac:dyDescent="0.3">
      <c r="D17" s="16" t="s">
        <v>18</v>
      </c>
      <c r="E17" s="17">
        <v>5891</v>
      </c>
    </row>
    <row r="18" spans="4:8" x14ac:dyDescent="0.3">
      <c r="D18" s="16" t="s">
        <v>145</v>
      </c>
      <c r="E18" s="17">
        <v>66632</v>
      </c>
    </row>
    <row r="26" spans="4:8" x14ac:dyDescent="0.3">
      <c r="G26" s="15" t="s">
        <v>144</v>
      </c>
      <c r="H26" t="s">
        <v>148</v>
      </c>
    </row>
    <row r="27" spans="4:8" x14ac:dyDescent="0.3">
      <c r="G27" s="16" t="s">
        <v>114</v>
      </c>
      <c r="H27" s="17">
        <v>8372</v>
      </c>
    </row>
    <row r="28" spans="4:8" x14ac:dyDescent="0.3">
      <c r="G28" s="16" t="s">
        <v>19</v>
      </c>
      <c r="H28" s="17">
        <v>31339</v>
      </c>
    </row>
    <row r="29" spans="4:8" x14ac:dyDescent="0.3">
      <c r="G29" s="16" t="s">
        <v>34</v>
      </c>
      <c r="H29" s="17">
        <v>13207</v>
      </c>
    </row>
    <row r="30" spans="4:8" x14ac:dyDescent="0.3">
      <c r="G30" s="16" t="s">
        <v>52</v>
      </c>
      <c r="H30" s="17">
        <v>8993</v>
      </c>
    </row>
    <row r="31" spans="4:8" x14ac:dyDescent="0.3">
      <c r="G31" s="16" t="s">
        <v>71</v>
      </c>
      <c r="H31" s="17">
        <v>8551</v>
      </c>
    </row>
    <row r="32" spans="4:8" x14ac:dyDescent="0.3">
      <c r="G32" s="16" t="s">
        <v>84</v>
      </c>
      <c r="H32" s="17">
        <v>7979</v>
      </c>
    </row>
    <row r="33" spans="7:8" x14ac:dyDescent="0.3">
      <c r="G33" s="16" t="s">
        <v>49</v>
      </c>
      <c r="H33" s="17">
        <v>14393</v>
      </c>
    </row>
    <row r="34" spans="7:8" x14ac:dyDescent="0.3">
      <c r="G34" s="16" t="s">
        <v>76</v>
      </c>
      <c r="H34" s="17">
        <v>8211</v>
      </c>
    </row>
    <row r="35" spans="7:8" x14ac:dyDescent="0.3">
      <c r="G35" s="16" t="s">
        <v>56</v>
      </c>
      <c r="H35" s="17">
        <v>18175</v>
      </c>
    </row>
    <row r="36" spans="7:8" x14ac:dyDescent="0.3">
      <c r="G36" s="16" t="s">
        <v>87</v>
      </c>
      <c r="H36" s="17">
        <v>13523</v>
      </c>
    </row>
    <row r="37" spans="7:8" x14ac:dyDescent="0.3">
      <c r="G37" s="16" t="s">
        <v>145</v>
      </c>
      <c r="H37" s="17">
        <v>132743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5119-E82C-4862-A626-74F39A282883}">
  <dimension ref="A1:W50"/>
  <sheetViews>
    <sheetView showGridLines="0" tabSelected="1" zoomScale="50" zoomScaleNormal="50" workbookViewId="0">
      <selection activeCell="AI41" sqref="AI41"/>
    </sheetView>
  </sheetViews>
  <sheetFormatPr defaultRowHeight="14.4" x14ac:dyDescent="0.3"/>
  <cols>
    <col min="1" max="1" width="3.77734375" customWidth="1"/>
    <col min="2" max="12" width="14.77734375" customWidth="1"/>
  </cols>
  <sheetData>
    <row r="1" spans="1:23" ht="36.6" x14ac:dyDescent="0.7">
      <c r="A1" s="18" t="s">
        <v>132</v>
      </c>
      <c r="B1" s="18"/>
      <c r="C1" s="5" t="s">
        <v>147</v>
      </c>
      <c r="D1" s="6"/>
      <c r="E1" s="6"/>
      <c r="F1" s="3"/>
      <c r="G1" s="3"/>
      <c r="H1" s="3"/>
      <c r="I1" s="3"/>
      <c r="J1" s="3"/>
      <c r="K1" s="3"/>
      <c r="L1" s="3"/>
      <c r="M1" s="3"/>
      <c r="N1" s="3"/>
      <c r="O1" s="3"/>
      <c r="P1" s="3"/>
      <c r="Q1" s="3"/>
      <c r="R1" s="3"/>
      <c r="S1" s="3"/>
      <c r="T1" s="3"/>
      <c r="U1" s="3"/>
      <c r="V1" s="3"/>
      <c r="W1" s="3"/>
    </row>
    <row r="2" spans="1:23" x14ac:dyDescent="0.3">
      <c r="A2" s="19" t="s">
        <v>133</v>
      </c>
      <c r="B2" s="19"/>
      <c r="C2" s="4" t="s">
        <v>138</v>
      </c>
      <c r="D2" s="4" t="s">
        <v>139</v>
      </c>
      <c r="E2" s="4" t="s">
        <v>140</v>
      </c>
      <c r="F2" s="3"/>
      <c r="G2" s="3"/>
      <c r="H2" s="3"/>
      <c r="I2" s="3"/>
      <c r="J2" s="3"/>
      <c r="K2" s="3"/>
      <c r="L2" s="3"/>
      <c r="M2" s="3"/>
      <c r="N2" s="3"/>
      <c r="O2" s="3"/>
      <c r="P2" s="3"/>
      <c r="Q2" s="3"/>
      <c r="R2" s="3"/>
      <c r="S2" s="3"/>
      <c r="T2" s="3"/>
      <c r="U2" s="3"/>
      <c r="V2" s="3"/>
      <c r="W2" s="3"/>
    </row>
    <row r="3" spans="1:23" x14ac:dyDescent="0.3">
      <c r="A3" s="20" t="s">
        <v>134</v>
      </c>
      <c r="B3" s="20"/>
      <c r="C3" s="3"/>
      <c r="D3" s="3"/>
      <c r="E3" s="3"/>
      <c r="F3" s="3"/>
      <c r="G3" s="3"/>
      <c r="H3" s="3"/>
      <c r="I3" s="3"/>
      <c r="J3" s="3"/>
      <c r="K3" s="3"/>
      <c r="L3" s="3"/>
      <c r="M3" s="3"/>
      <c r="N3" s="3"/>
      <c r="O3" s="3"/>
      <c r="P3" s="3"/>
      <c r="Q3" s="3"/>
      <c r="R3" s="3"/>
      <c r="S3" s="3"/>
      <c r="T3" s="3"/>
      <c r="U3" s="3"/>
      <c r="V3" s="3"/>
      <c r="W3" s="3"/>
    </row>
    <row r="4" spans="1:23" x14ac:dyDescent="0.3">
      <c r="A4" s="20" t="s">
        <v>135</v>
      </c>
      <c r="B4" s="20"/>
      <c r="C4" s="3"/>
      <c r="D4" s="3"/>
      <c r="E4" s="3"/>
      <c r="F4" s="3"/>
      <c r="G4" s="3"/>
      <c r="H4" s="3"/>
      <c r="I4" s="3"/>
      <c r="J4" s="3"/>
      <c r="K4" s="3"/>
      <c r="L4" s="3"/>
      <c r="M4" s="3"/>
      <c r="N4" s="3"/>
      <c r="O4" s="3"/>
      <c r="P4" s="3"/>
      <c r="Q4" s="3"/>
      <c r="R4" s="3"/>
      <c r="S4" s="3"/>
      <c r="T4" s="3"/>
      <c r="U4" s="3"/>
      <c r="V4" s="3"/>
      <c r="W4" s="3"/>
    </row>
    <row r="5" spans="1:23" x14ac:dyDescent="0.3">
      <c r="A5" s="20" t="s">
        <v>136</v>
      </c>
      <c r="B5" s="20"/>
      <c r="C5" s="10" t="s">
        <v>141</v>
      </c>
      <c r="D5" s="11"/>
      <c r="E5" s="9"/>
      <c r="F5" s="10" t="s">
        <v>142</v>
      </c>
      <c r="G5" s="14"/>
      <c r="H5" s="3"/>
      <c r="I5" s="10" t="s">
        <v>149</v>
      </c>
      <c r="J5" s="14"/>
      <c r="K5" s="3"/>
      <c r="L5" s="10" t="s">
        <v>143</v>
      </c>
      <c r="M5" s="14"/>
      <c r="N5" s="3"/>
      <c r="O5" s="3"/>
      <c r="P5" s="3"/>
      <c r="Q5" s="3"/>
      <c r="R5" s="3"/>
      <c r="S5" s="3"/>
      <c r="T5" s="3"/>
      <c r="U5" s="3"/>
      <c r="V5" s="3"/>
      <c r="W5" s="3"/>
    </row>
    <row r="6" spans="1:23" x14ac:dyDescent="0.3">
      <c r="A6" s="20" t="s">
        <v>137</v>
      </c>
      <c r="B6" s="20"/>
      <c r="C6" s="12"/>
      <c r="D6" s="13"/>
      <c r="E6" s="9"/>
      <c r="F6" s="7"/>
      <c r="G6" s="8"/>
      <c r="H6" s="3"/>
      <c r="I6" s="7"/>
      <c r="J6" s="8"/>
      <c r="K6" s="3"/>
      <c r="L6" s="7"/>
      <c r="M6" s="8"/>
      <c r="N6" s="3"/>
      <c r="O6" s="3"/>
      <c r="P6" s="3"/>
      <c r="Q6" s="3"/>
      <c r="R6" s="3"/>
      <c r="S6" s="3"/>
      <c r="T6" s="3"/>
      <c r="U6" s="3"/>
      <c r="V6" s="3"/>
      <c r="W6" s="3"/>
    </row>
    <row r="7" spans="1:23" x14ac:dyDescent="0.3">
      <c r="A7" s="9"/>
      <c r="B7" s="9"/>
      <c r="C7" s="21">
        <v>151366</v>
      </c>
      <c r="D7" s="22"/>
      <c r="E7" s="3"/>
      <c r="F7" s="21">
        <v>538745.1</v>
      </c>
      <c r="G7" s="22"/>
      <c r="H7" s="3"/>
      <c r="I7" s="21">
        <v>100</v>
      </c>
      <c r="J7" s="22"/>
      <c r="K7" s="3"/>
      <c r="L7" s="25" t="s">
        <v>34</v>
      </c>
      <c r="M7" s="26"/>
      <c r="N7" s="3"/>
      <c r="O7" s="3"/>
      <c r="P7" s="3"/>
      <c r="Q7" s="3"/>
      <c r="R7" s="3"/>
      <c r="S7" s="3"/>
      <c r="T7" s="3"/>
      <c r="U7" s="3"/>
      <c r="V7" s="3"/>
      <c r="W7" s="3"/>
    </row>
    <row r="8" spans="1:23" x14ac:dyDescent="0.3">
      <c r="A8" s="9"/>
      <c r="B8" s="9"/>
      <c r="C8" s="23"/>
      <c r="D8" s="24"/>
      <c r="E8" s="3"/>
      <c r="F8" s="23"/>
      <c r="G8" s="24"/>
      <c r="H8" s="3"/>
      <c r="I8" s="23"/>
      <c r="J8" s="24"/>
      <c r="K8" s="3"/>
      <c r="L8" s="27"/>
      <c r="M8" s="28"/>
      <c r="N8" s="3"/>
      <c r="O8" s="3"/>
      <c r="P8" s="3"/>
      <c r="Q8" s="3"/>
      <c r="R8" s="3"/>
      <c r="S8" s="3"/>
      <c r="T8" s="3"/>
      <c r="U8" s="3"/>
      <c r="V8" s="3"/>
      <c r="W8" s="3"/>
    </row>
    <row r="9" spans="1:23" x14ac:dyDescent="0.3">
      <c r="A9" s="9"/>
      <c r="B9" s="9"/>
      <c r="C9" s="3"/>
      <c r="D9" s="3"/>
      <c r="E9" s="3"/>
      <c r="F9" s="3"/>
      <c r="G9" s="3"/>
      <c r="H9" s="3"/>
      <c r="I9" s="3"/>
      <c r="J9" s="3"/>
      <c r="K9" s="3"/>
      <c r="L9" s="3"/>
      <c r="M9" s="3"/>
      <c r="N9" s="3"/>
      <c r="O9" s="3"/>
      <c r="P9" s="3"/>
      <c r="Q9" s="3"/>
      <c r="R9" s="3"/>
      <c r="S9" s="3"/>
      <c r="T9" s="3"/>
      <c r="U9" s="3"/>
      <c r="V9" s="3"/>
      <c r="W9" s="3"/>
    </row>
    <row r="10" spans="1:23" x14ac:dyDescent="0.3">
      <c r="A10" s="9"/>
      <c r="B10" s="9"/>
      <c r="C10" s="3"/>
      <c r="D10" s="3"/>
      <c r="E10" s="3"/>
      <c r="F10" s="3"/>
      <c r="G10" s="3"/>
      <c r="H10" s="3"/>
      <c r="I10" s="3"/>
      <c r="J10" s="3"/>
      <c r="K10" s="3"/>
      <c r="L10" s="3"/>
      <c r="M10" s="3"/>
      <c r="N10" s="3"/>
      <c r="O10" s="3"/>
      <c r="P10" s="3"/>
      <c r="Q10" s="3"/>
      <c r="R10" s="3"/>
      <c r="S10" s="3"/>
      <c r="T10" s="3"/>
      <c r="U10" s="3"/>
      <c r="V10" s="3"/>
      <c r="W10" s="3"/>
    </row>
    <row r="11" spans="1:23" x14ac:dyDescent="0.3">
      <c r="A11" s="9"/>
      <c r="B11" s="9"/>
      <c r="C11" s="3"/>
      <c r="D11" s="3"/>
      <c r="E11" s="3"/>
      <c r="F11" s="3"/>
      <c r="G11" s="3"/>
      <c r="H11" s="3"/>
      <c r="I11" s="3"/>
      <c r="J11" s="3"/>
      <c r="K11" s="3"/>
      <c r="L11" s="3"/>
      <c r="M11" s="3"/>
      <c r="N11" s="3"/>
      <c r="O11" s="3"/>
      <c r="P11" s="3"/>
      <c r="Q11" s="3"/>
      <c r="R11" s="3"/>
      <c r="S11" s="3"/>
      <c r="T11" s="3"/>
      <c r="U11" s="3"/>
      <c r="V11" s="3"/>
      <c r="W11" s="3"/>
    </row>
    <row r="12" spans="1:23" x14ac:dyDescent="0.3">
      <c r="A12" s="9"/>
      <c r="B12" s="9"/>
      <c r="C12" s="3"/>
      <c r="D12" s="3"/>
      <c r="E12" s="3"/>
      <c r="F12" s="3"/>
      <c r="G12" s="3"/>
      <c r="H12" s="3"/>
      <c r="I12" s="3"/>
      <c r="J12" s="3"/>
      <c r="K12" s="3"/>
      <c r="L12" s="3"/>
      <c r="M12" s="3"/>
      <c r="N12" s="3"/>
      <c r="O12" s="3"/>
      <c r="P12" s="3"/>
      <c r="Q12" s="3"/>
      <c r="R12" s="3"/>
      <c r="S12" s="3"/>
      <c r="T12" s="3"/>
      <c r="U12" s="3"/>
      <c r="V12" s="3"/>
      <c r="W12" s="3"/>
    </row>
    <row r="13" spans="1:23" x14ac:dyDescent="0.3">
      <c r="A13" s="9"/>
      <c r="B13" s="9"/>
      <c r="C13" s="3"/>
      <c r="D13" s="3"/>
      <c r="E13" s="3"/>
      <c r="F13" s="3"/>
      <c r="G13" s="3"/>
      <c r="H13" s="3"/>
      <c r="I13" s="3"/>
      <c r="J13" s="3"/>
      <c r="K13" s="3"/>
      <c r="L13" s="3"/>
      <c r="M13" s="3"/>
      <c r="N13" s="3"/>
      <c r="O13" s="3"/>
      <c r="P13" s="3"/>
      <c r="Q13" s="3"/>
      <c r="R13" s="3"/>
      <c r="S13" s="3"/>
      <c r="T13" s="3"/>
      <c r="U13" s="3"/>
      <c r="V13" s="3"/>
      <c r="W13" s="3"/>
    </row>
    <row r="14" spans="1:23" x14ac:dyDescent="0.3">
      <c r="A14" s="9"/>
      <c r="B14" s="9"/>
      <c r="C14" s="3"/>
      <c r="D14" s="3"/>
      <c r="E14" s="3"/>
      <c r="F14" s="3"/>
      <c r="G14" s="3"/>
      <c r="H14" s="3"/>
      <c r="I14" s="3"/>
      <c r="J14" s="3"/>
      <c r="K14" s="3"/>
      <c r="L14" s="3"/>
      <c r="M14" s="3"/>
      <c r="N14" s="3"/>
      <c r="O14" s="3"/>
      <c r="P14" s="3"/>
      <c r="Q14" s="3"/>
      <c r="R14" s="3"/>
      <c r="S14" s="3"/>
      <c r="T14" s="3"/>
      <c r="U14" s="3"/>
      <c r="V14" s="3"/>
      <c r="W14" s="3"/>
    </row>
    <row r="15" spans="1:23" x14ac:dyDescent="0.3">
      <c r="A15" s="9"/>
      <c r="B15" s="9"/>
      <c r="C15" s="3"/>
      <c r="D15" s="3"/>
      <c r="E15" s="3"/>
      <c r="F15" s="3"/>
      <c r="G15" s="3"/>
      <c r="H15" s="3"/>
      <c r="I15" s="3"/>
      <c r="J15" s="3"/>
      <c r="K15" s="3"/>
      <c r="L15" s="3"/>
      <c r="M15" s="3"/>
      <c r="N15" s="3"/>
      <c r="O15" s="3"/>
      <c r="P15" s="3"/>
      <c r="Q15" s="3"/>
      <c r="R15" s="3"/>
      <c r="S15" s="3"/>
      <c r="T15" s="3"/>
      <c r="U15" s="3"/>
      <c r="V15" s="3"/>
      <c r="W15" s="3"/>
    </row>
    <row r="16" spans="1:23" x14ac:dyDescent="0.3">
      <c r="A16" s="9"/>
      <c r="B16" s="9"/>
      <c r="C16" s="3"/>
      <c r="D16" s="3"/>
      <c r="E16" s="3"/>
      <c r="F16" s="3"/>
      <c r="G16" s="3"/>
      <c r="H16" s="3"/>
      <c r="I16" s="3"/>
      <c r="J16" s="3"/>
      <c r="K16" s="3"/>
      <c r="L16" s="3"/>
      <c r="M16" s="3"/>
      <c r="N16" s="3"/>
      <c r="O16" s="3"/>
      <c r="P16" s="3"/>
      <c r="Q16" s="3"/>
      <c r="R16" s="3"/>
      <c r="S16" s="3"/>
      <c r="T16" s="3"/>
      <c r="U16" s="3"/>
      <c r="V16" s="3"/>
      <c r="W16" s="3"/>
    </row>
    <row r="17" spans="1:23" x14ac:dyDescent="0.3">
      <c r="A17" s="9"/>
      <c r="B17" s="9"/>
      <c r="C17" s="3"/>
      <c r="D17" s="3"/>
      <c r="E17" s="3"/>
      <c r="F17" s="3"/>
      <c r="G17" s="3"/>
      <c r="H17" s="3"/>
      <c r="I17" s="3"/>
      <c r="J17" s="3"/>
      <c r="K17" s="3"/>
      <c r="L17" s="3"/>
      <c r="M17" s="3"/>
      <c r="N17" s="3"/>
      <c r="O17" s="3"/>
      <c r="P17" s="3"/>
      <c r="Q17" s="3"/>
      <c r="R17" s="3"/>
      <c r="S17" s="3"/>
      <c r="T17" s="3"/>
      <c r="U17" s="3"/>
      <c r="V17" s="3"/>
      <c r="W17" s="3"/>
    </row>
    <row r="18" spans="1:23" x14ac:dyDescent="0.3">
      <c r="A18" s="9"/>
      <c r="B18" s="9"/>
      <c r="C18" s="3"/>
      <c r="D18" s="3"/>
      <c r="E18" s="3"/>
      <c r="F18" s="3"/>
      <c r="G18" s="3"/>
      <c r="H18" s="3"/>
      <c r="I18" s="3"/>
      <c r="J18" s="3"/>
      <c r="K18" s="3"/>
      <c r="L18" s="3"/>
      <c r="M18" s="3"/>
      <c r="N18" s="3"/>
      <c r="O18" s="3"/>
      <c r="P18" s="3"/>
      <c r="Q18" s="3"/>
      <c r="R18" s="3"/>
      <c r="S18" s="3"/>
      <c r="T18" s="3"/>
      <c r="U18" s="3"/>
      <c r="V18" s="3"/>
      <c r="W18" s="3"/>
    </row>
    <row r="19" spans="1:23" x14ac:dyDescent="0.3">
      <c r="A19" s="9"/>
      <c r="B19" s="9"/>
      <c r="C19" s="3"/>
      <c r="D19" s="3"/>
      <c r="E19" s="3"/>
      <c r="F19" s="3"/>
      <c r="G19" s="3"/>
      <c r="H19" s="3"/>
      <c r="I19" s="3"/>
      <c r="J19" s="3"/>
      <c r="K19" s="3"/>
      <c r="L19" s="3"/>
      <c r="M19" s="3"/>
      <c r="N19" s="3"/>
      <c r="O19" s="3"/>
      <c r="P19" s="3"/>
      <c r="Q19" s="3"/>
      <c r="R19" s="3"/>
      <c r="S19" s="3"/>
      <c r="T19" s="3"/>
      <c r="U19" s="3"/>
      <c r="V19" s="3"/>
      <c r="W19" s="3"/>
    </row>
    <row r="20" spans="1:23" x14ac:dyDescent="0.3">
      <c r="A20" s="9"/>
      <c r="B20" s="9"/>
      <c r="C20" s="3"/>
      <c r="D20" s="3"/>
      <c r="E20" s="3"/>
      <c r="F20" s="3"/>
      <c r="G20" s="3"/>
      <c r="H20" s="3"/>
      <c r="I20" s="3"/>
      <c r="J20" s="3"/>
      <c r="K20" s="3"/>
      <c r="L20" s="3"/>
      <c r="M20" s="3"/>
      <c r="N20" s="3"/>
      <c r="O20" s="3"/>
      <c r="P20" s="3"/>
      <c r="Q20" s="3"/>
      <c r="R20" s="3"/>
      <c r="S20" s="3"/>
      <c r="T20" s="3"/>
      <c r="U20" s="3"/>
      <c r="V20" s="3"/>
      <c r="W20" s="3"/>
    </row>
    <row r="21" spans="1:23" x14ac:dyDescent="0.3">
      <c r="A21" s="9"/>
      <c r="B21" s="9"/>
      <c r="C21" s="3"/>
      <c r="D21" s="3"/>
      <c r="E21" s="3"/>
      <c r="F21" s="3"/>
      <c r="G21" s="3"/>
      <c r="H21" s="3"/>
      <c r="I21" s="3"/>
      <c r="J21" s="3"/>
      <c r="K21" s="3"/>
      <c r="L21" s="3"/>
      <c r="M21" s="3"/>
      <c r="N21" s="3"/>
      <c r="O21" s="3"/>
      <c r="P21" s="3"/>
      <c r="Q21" s="3"/>
      <c r="R21" s="3"/>
      <c r="S21" s="3"/>
      <c r="T21" s="3"/>
      <c r="U21" s="3"/>
      <c r="V21" s="3"/>
      <c r="W21" s="3"/>
    </row>
    <row r="22" spans="1:23" x14ac:dyDescent="0.3">
      <c r="A22" s="9"/>
      <c r="B22" s="9"/>
      <c r="C22" s="3"/>
      <c r="D22" s="3"/>
      <c r="E22" s="3"/>
      <c r="F22" s="3"/>
      <c r="G22" s="3"/>
      <c r="H22" s="3"/>
      <c r="I22" s="3"/>
      <c r="J22" s="3"/>
      <c r="K22" s="3"/>
      <c r="L22" s="3"/>
      <c r="M22" s="3"/>
      <c r="N22" s="3"/>
      <c r="O22" s="3"/>
      <c r="P22" s="3"/>
      <c r="Q22" s="3"/>
      <c r="R22" s="3"/>
      <c r="S22" s="3"/>
      <c r="T22" s="3"/>
      <c r="U22" s="3"/>
      <c r="V22" s="3"/>
      <c r="W22" s="3"/>
    </row>
    <row r="23" spans="1:23" x14ac:dyDescent="0.3">
      <c r="A23" s="9"/>
      <c r="B23" s="9"/>
      <c r="C23" s="3"/>
      <c r="D23" s="3"/>
      <c r="E23" s="3"/>
      <c r="F23" s="3"/>
      <c r="G23" s="3"/>
      <c r="H23" s="3"/>
      <c r="I23" s="3"/>
      <c r="J23" s="3"/>
      <c r="K23" s="3"/>
      <c r="L23" s="3"/>
      <c r="M23" s="3"/>
      <c r="N23" s="3"/>
      <c r="O23" s="3"/>
      <c r="P23" s="3"/>
      <c r="Q23" s="3"/>
      <c r="R23" s="3"/>
      <c r="S23" s="3"/>
      <c r="T23" s="3"/>
      <c r="U23" s="3"/>
      <c r="V23" s="3"/>
      <c r="W23" s="3"/>
    </row>
    <row r="24" spans="1:23" x14ac:dyDescent="0.3">
      <c r="A24" s="9"/>
      <c r="B24" s="9"/>
      <c r="C24" s="3"/>
      <c r="D24" s="3"/>
      <c r="E24" s="3"/>
      <c r="F24" s="3"/>
      <c r="G24" s="3"/>
      <c r="H24" s="3"/>
      <c r="I24" s="3"/>
      <c r="J24" s="3"/>
      <c r="K24" s="3"/>
      <c r="L24" s="3"/>
      <c r="M24" s="3"/>
      <c r="N24" s="3"/>
      <c r="O24" s="3"/>
      <c r="P24" s="3"/>
      <c r="Q24" s="3"/>
      <c r="R24" s="3"/>
      <c r="S24" s="3"/>
      <c r="T24" s="3"/>
      <c r="U24" s="3"/>
      <c r="V24" s="3"/>
      <c r="W24" s="3"/>
    </row>
    <row r="25" spans="1:23" x14ac:dyDescent="0.3">
      <c r="A25" s="9"/>
      <c r="B25" s="9"/>
      <c r="C25" s="3"/>
      <c r="D25" s="3"/>
      <c r="E25" s="3"/>
      <c r="F25" s="3"/>
      <c r="G25" s="3"/>
      <c r="H25" s="3"/>
      <c r="I25" s="3"/>
      <c r="J25" s="3"/>
      <c r="K25" s="3"/>
      <c r="L25" s="3"/>
      <c r="M25" s="3"/>
      <c r="N25" s="3"/>
      <c r="O25" s="3"/>
      <c r="P25" s="3"/>
      <c r="Q25" s="3"/>
      <c r="R25" s="3"/>
      <c r="S25" s="3"/>
      <c r="T25" s="3"/>
      <c r="U25" s="3"/>
      <c r="V25" s="3"/>
      <c r="W25" s="3"/>
    </row>
    <row r="26" spans="1:23" x14ac:dyDescent="0.3">
      <c r="A26" s="9"/>
      <c r="B26" s="9"/>
      <c r="C26" s="3"/>
      <c r="D26" s="3"/>
      <c r="E26" s="3"/>
      <c r="F26" s="3"/>
      <c r="G26" s="3"/>
      <c r="H26" s="3"/>
      <c r="I26" s="3"/>
      <c r="J26" s="3"/>
      <c r="K26" s="3"/>
      <c r="L26" s="3"/>
      <c r="M26" s="3"/>
      <c r="N26" s="3"/>
      <c r="O26" s="3"/>
      <c r="P26" s="3"/>
      <c r="Q26" s="3"/>
      <c r="R26" s="3"/>
      <c r="S26" s="3"/>
      <c r="T26" s="3"/>
      <c r="U26" s="3"/>
      <c r="V26" s="3"/>
      <c r="W26" s="3"/>
    </row>
    <row r="27" spans="1:23" x14ac:dyDescent="0.3">
      <c r="A27" s="9"/>
      <c r="B27" s="9"/>
      <c r="C27" s="3"/>
      <c r="D27" s="3"/>
      <c r="E27" s="3"/>
      <c r="F27" s="3"/>
      <c r="G27" s="3"/>
      <c r="H27" s="3"/>
      <c r="I27" s="3"/>
      <c r="J27" s="3"/>
      <c r="K27" s="3"/>
      <c r="L27" s="3"/>
      <c r="M27" s="3"/>
      <c r="N27" s="3"/>
      <c r="O27" s="3"/>
      <c r="P27" s="3"/>
      <c r="Q27" s="3"/>
      <c r="R27" s="3"/>
      <c r="S27" s="3"/>
      <c r="T27" s="3"/>
      <c r="U27" s="3"/>
      <c r="V27" s="3"/>
      <c r="W27" s="3"/>
    </row>
    <row r="28" spans="1:23" x14ac:dyDescent="0.3">
      <c r="A28" s="9"/>
      <c r="B28" s="9"/>
      <c r="C28" s="3"/>
      <c r="D28" s="3"/>
      <c r="E28" s="3"/>
      <c r="F28" s="3"/>
      <c r="G28" s="3"/>
      <c r="H28" s="3"/>
      <c r="I28" s="3"/>
      <c r="J28" s="3"/>
      <c r="K28" s="3"/>
      <c r="L28" s="3"/>
      <c r="M28" s="3"/>
      <c r="N28" s="3"/>
      <c r="O28" s="3"/>
      <c r="P28" s="3"/>
      <c r="Q28" s="3"/>
      <c r="R28" s="3"/>
      <c r="S28" s="3"/>
      <c r="T28" s="3"/>
      <c r="U28" s="3"/>
      <c r="V28" s="3"/>
      <c r="W28" s="3"/>
    </row>
    <row r="29" spans="1:23" x14ac:dyDescent="0.3">
      <c r="A29" s="9"/>
      <c r="B29" s="9"/>
      <c r="C29" s="3"/>
      <c r="D29" s="3"/>
      <c r="E29" s="3"/>
      <c r="F29" s="3"/>
      <c r="G29" s="3"/>
      <c r="H29" s="3"/>
      <c r="I29" s="3"/>
      <c r="J29" s="3"/>
      <c r="K29" s="3"/>
      <c r="L29" s="3"/>
      <c r="M29" s="3"/>
      <c r="N29" s="3"/>
      <c r="O29" s="3"/>
      <c r="P29" s="3"/>
      <c r="Q29" s="3"/>
      <c r="R29" s="3"/>
      <c r="S29" s="3"/>
      <c r="T29" s="3"/>
      <c r="U29" s="3"/>
      <c r="V29" s="3"/>
      <c r="W29" s="3"/>
    </row>
    <row r="30" spans="1:23" x14ac:dyDescent="0.3">
      <c r="A30" s="9"/>
      <c r="B30" s="9"/>
      <c r="C30" s="3"/>
      <c r="D30" s="3"/>
      <c r="E30" s="3"/>
      <c r="F30" s="3"/>
      <c r="G30" s="3"/>
      <c r="H30" s="3"/>
      <c r="I30" s="3"/>
      <c r="J30" s="3"/>
      <c r="K30" s="3"/>
      <c r="L30" s="3"/>
      <c r="M30" s="3"/>
      <c r="N30" s="3"/>
      <c r="O30" s="3"/>
      <c r="P30" s="3"/>
      <c r="Q30" s="3"/>
      <c r="R30" s="3"/>
      <c r="S30" s="3"/>
      <c r="T30" s="3"/>
      <c r="U30" s="3"/>
      <c r="V30" s="3"/>
      <c r="W30" s="3"/>
    </row>
    <row r="31" spans="1:23" x14ac:dyDescent="0.3">
      <c r="A31" s="9"/>
      <c r="B31" s="9"/>
      <c r="C31" s="3"/>
      <c r="D31" s="3"/>
      <c r="E31" s="3"/>
      <c r="F31" s="3"/>
      <c r="G31" s="3"/>
      <c r="H31" s="3"/>
      <c r="I31" s="3"/>
      <c r="J31" s="3"/>
      <c r="K31" s="3"/>
      <c r="L31" s="3"/>
      <c r="M31" s="3"/>
      <c r="N31" s="3"/>
      <c r="O31" s="3"/>
      <c r="P31" s="3"/>
      <c r="Q31" s="3"/>
      <c r="R31" s="3"/>
      <c r="S31" s="3"/>
      <c r="T31" s="3"/>
      <c r="U31" s="3"/>
      <c r="V31" s="3"/>
      <c r="W31" s="3"/>
    </row>
    <row r="32" spans="1:23" x14ac:dyDescent="0.3">
      <c r="A32" s="9"/>
      <c r="B32" s="9"/>
      <c r="C32" s="3"/>
      <c r="D32" s="3"/>
      <c r="E32" s="3"/>
      <c r="F32" s="3"/>
      <c r="G32" s="3"/>
      <c r="H32" s="3"/>
      <c r="I32" s="3"/>
      <c r="J32" s="3"/>
      <c r="K32" s="3"/>
      <c r="L32" s="3"/>
      <c r="M32" s="3"/>
      <c r="N32" s="3"/>
      <c r="O32" s="3"/>
      <c r="P32" s="3"/>
      <c r="Q32" s="3"/>
      <c r="R32" s="3"/>
      <c r="S32" s="3"/>
      <c r="T32" s="3"/>
      <c r="U32" s="3"/>
      <c r="V32" s="3"/>
      <c r="W32" s="3"/>
    </row>
    <row r="33" spans="1:23" x14ac:dyDescent="0.3">
      <c r="A33" s="9"/>
      <c r="B33" s="9"/>
      <c r="C33" s="3"/>
      <c r="D33" s="3"/>
      <c r="E33" s="3"/>
      <c r="F33" s="3"/>
      <c r="G33" s="3"/>
      <c r="H33" s="3"/>
      <c r="I33" s="3"/>
      <c r="J33" s="3"/>
      <c r="K33" s="3"/>
      <c r="L33" s="3"/>
      <c r="M33" s="3"/>
      <c r="N33" s="3"/>
      <c r="O33" s="3"/>
      <c r="P33" s="3"/>
      <c r="Q33" s="3"/>
      <c r="R33" s="3"/>
      <c r="S33" s="3"/>
      <c r="T33" s="3"/>
      <c r="U33" s="3"/>
      <c r="V33" s="3"/>
      <c r="W33" s="3"/>
    </row>
    <row r="34" spans="1:23" x14ac:dyDescent="0.3">
      <c r="A34" s="9"/>
      <c r="B34" s="9"/>
      <c r="C34" s="3"/>
      <c r="D34" s="3"/>
      <c r="E34" s="3"/>
      <c r="F34" s="3"/>
      <c r="G34" s="3"/>
      <c r="H34" s="3"/>
      <c r="I34" s="3"/>
      <c r="J34" s="3"/>
      <c r="K34" s="3"/>
      <c r="L34" s="3"/>
      <c r="M34" s="3"/>
      <c r="N34" s="3"/>
      <c r="O34" s="3"/>
      <c r="P34" s="3"/>
      <c r="Q34" s="3"/>
      <c r="R34" s="3"/>
      <c r="S34" s="3"/>
      <c r="T34" s="3"/>
      <c r="U34" s="3"/>
      <c r="V34" s="3"/>
      <c r="W34" s="3"/>
    </row>
    <row r="35" spans="1:23" x14ac:dyDescent="0.3">
      <c r="A35" s="9"/>
      <c r="B35" s="9"/>
      <c r="C35" s="3"/>
      <c r="D35" s="3"/>
      <c r="E35" s="3"/>
      <c r="F35" s="3"/>
      <c r="G35" s="3"/>
      <c r="H35" s="3"/>
      <c r="I35" s="3"/>
      <c r="J35" s="3"/>
      <c r="K35" s="3"/>
      <c r="L35" s="3"/>
      <c r="M35" s="3"/>
      <c r="N35" s="3"/>
      <c r="O35" s="3"/>
      <c r="P35" s="3"/>
      <c r="Q35" s="3"/>
      <c r="R35" s="3"/>
      <c r="S35" s="3"/>
      <c r="T35" s="3"/>
      <c r="U35" s="3"/>
      <c r="V35" s="3"/>
      <c r="W35" s="3"/>
    </row>
    <row r="36" spans="1:23" x14ac:dyDescent="0.3">
      <c r="A36" s="9"/>
      <c r="B36" s="9"/>
      <c r="C36" s="3"/>
      <c r="D36" s="3"/>
      <c r="E36" s="3"/>
      <c r="F36" s="3"/>
      <c r="G36" s="3"/>
      <c r="H36" s="3"/>
      <c r="I36" s="3"/>
      <c r="J36" s="3"/>
      <c r="K36" s="3"/>
      <c r="L36" s="3"/>
      <c r="M36" s="3"/>
      <c r="N36" s="3"/>
      <c r="O36" s="3"/>
      <c r="P36" s="3"/>
      <c r="Q36" s="3"/>
      <c r="R36" s="3"/>
      <c r="S36" s="3"/>
      <c r="T36" s="3"/>
      <c r="U36" s="3"/>
      <c r="V36" s="3"/>
      <c r="W36" s="3"/>
    </row>
    <row r="37" spans="1:23" x14ac:dyDescent="0.3">
      <c r="A37" s="9"/>
      <c r="B37" s="9"/>
      <c r="C37" s="3"/>
      <c r="D37" s="3"/>
      <c r="E37" s="3"/>
      <c r="F37" s="3"/>
      <c r="G37" s="3"/>
      <c r="H37" s="3"/>
      <c r="I37" s="3"/>
      <c r="J37" s="3"/>
      <c r="K37" s="3"/>
      <c r="L37" s="3"/>
      <c r="M37" s="3"/>
      <c r="N37" s="3"/>
      <c r="O37" s="3"/>
      <c r="P37" s="3"/>
      <c r="Q37" s="3"/>
      <c r="R37" s="3"/>
      <c r="S37" s="3"/>
      <c r="T37" s="3"/>
      <c r="U37" s="3"/>
      <c r="V37" s="3"/>
      <c r="W37" s="3"/>
    </row>
    <row r="38" spans="1:23" x14ac:dyDescent="0.3">
      <c r="A38" s="9"/>
      <c r="B38" s="9"/>
      <c r="C38" s="3"/>
      <c r="D38" s="3"/>
      <c r="E38" s="3"/>
      <c r="F38" s="3"/>
      <c r="G38" s="3"/>
      <c r="H38" s="3"/>
      <c r="I38" s="3"/>
      <c r="J38" s="3"/>
      <c r="K38" s="3"/>
      <c r="L38" s="3"/>
      <c r="M38" s="3"/>
      <c r="N38" s="3"/>
      <c r="O38" s="3"/>
      <c r="P38" s="3"/>
      <c r="Q38" s="3"/>
      <c r="R38" s="3"/>
      <c r="S38" s="3"/>
      <c r="T38" s="3"/>
      <c r="U38" s="3"/>
      <c r="V38" s="3"/>
      <c r="W38" s="3"/>
    </row>
    <row r="39" spans="1:23" x14ac:dyDescent="0.3">
      <c r="A39" s="9"/>
      <c r="B39" s="9"/>
      <c r="C39" s="3"/>
      <c r="D39" s="3"/>
      <c r="E39" s="3"/>
      <c r="F39" s="3"/>
      <c r="G39" s="3"/>
      <c r="H39" s="3"/>
      <c r="I39" s="3"/>
      <c r="J39" s="3"/>
      <c r="K39" s="3"/>
      <c r="L39" s="3"/>
      <c r="M39" s="3"/>
      <c r="N39" s="3"/>
      <c r="O39" s="3"/>
      <c r="P39" s="3"/>
      <c r="Q39" s="3"/>
      <c r="R39" s="3"/>
      <c r="S39" s="3"/>
      <c r="T39" s="3"/>
      <c r="U39" s="3"/>
      <c r="V39" s="3"/>
      <c r="W39" s="3"/>
    </row>
    <row r="40" spans="1:23" x14ac:dyDescent="0.3">
      <c r="A40" s="9"/>
      <c r="B40" s="9"/>
      <c r="C40" s="3"/>
      <c r="D40" s="3"/>
      <c r="E40" s="3"/>
      <c r="F40" s="3"/>
      <c r="G40" s="3"/>
      <c r="H40" s="3"/>
      <c r="I40" s="3"/>
      <c r="J40" s="3"/>
      <c r="K40" s="3"/>
      <c r="L40" s="3"/>
      <c r="M40" s="3"/>
      <c r="N40" s="3"/>
      <c r="O40" s="3"/>
      <c r="P40" s="3"/>
      <c r="Q40" s="3"/>
      <c r="R40" s="3"/>
      <c r="S40" s="3"/>
      <c r="T40" s="3"/>
      <c r="U40" s="3"/>
      <c r="V40" s="3"/>
      <c r="W40" s="3"/>
    </row>
    <row r="41" spans="1:23" x14ac:dyDescent="0.3">
      <c r="A41" s="9"/>
      <c r="B41" s="9"/>
      <c r="C41" s="3"/>
      <c r="D41" s="3"/>
      <c r="E41" s="3"/>
      <c r="F41" s="3"/>
      <c r="G41" s="3"/>
      <c r="H41" s="3"/>
      <c r="I41" s="3"/>
      <c r="J41" s="3"/>
      <c r="K41" s="3"/>
      <c r="L41" s="3"/>
      <c r="M41" s="3"/>
      <c r="N41" s="3"/>
      <c r="O41" s="3"/>
      <c r="P41" s="3"/>
      <c r="Q41" s="3"/>
      <c r="R41" s="3"/>
      <c r="S41" s="3"/>
      <c r="T41" s="3"/>
      <c r="U41" s="3"/>
      <c r="V41" s="3"/>
      <c r="W41" s="3"/>
    </row>
    <row r="42" spans="1:23" x14ac:dyDescent="0.3">
      <c r="A42" s="9"/>
      <c r="B42" s="9"/>
      <c r="C42" s="3"/>
      <c r="D42" s="3"/>
      <c r="E42" s="3"/>
      <c r="F42" s="3"/>
      <c r="G42" s="3"/>
      <c r="H42" s="3"/>
      <c r="I42" s="3"/>
      <c r="J42" s="3"/>
      <c r="K42" s="3"/>
      <c r="L42" s="3"/>
      <c r="M42" s="3"/>
      <c r="N42" s="3"/>
      <c r="O42" s="3"/>
      <c r="P42" s="3"/>
      <c r="Q42" s="3"/>
      <c r="R42" s="3"/>
      <c r="S42" s="3"/>
      <c r="T42" s="3"/>
      <c r="U42" s="3"/>
      <c r="V42" s="3"/>
      <c r="W42" s="3"/>
    </row>
    <row r="43" spans="1:23" x14ac:dyDescent="0.3">
      <c r="A43" s="9"/>
      <c r="B43" s="9"/>
      <c r="C43" s="3"/>
      <c r="D43" s="3"/>
      <c r="E43" s="3"/>
      <c r="F43" s="3"/>
      <c r="G43" s="3"/>
      <c r="H43" s="3"/>
      <c r="I43" s="3"/>
      <c r="J43" s="3"/>
      <c r="K43" s="3"/>
      <c r="L43" s="3"/>
      <c r="M43" s="3"/>
      <c r="N43" s="3"/>
      <c r="O43" s="3"/>
      <c r="P43" s="3"/>
      <c r="Q43" s="3"/>
      <c r="R43" s="3"/>
      <c r="S43" s="3"/>
      <c r="T43" s="3"/>
      <c r="U43" s="3"/>
      <c r="V43" s="3"/>
      <c r="W43" s="3"/>
    </row>
    <row r="44" spans="1:23" x14ac:dyDescent="0.3">
      <c r="A44" s="9"/>
      <c r="B44" s="9"/>
      <c r="C44" s="3"/>
      <c r="D44" s="3"/>
      <c r="E44" s="3"/>
      <c r="F44" s="3"/>
      <c r="G44" s="3"/>
      <c r="H44" s="3"/>
      <c r="I44" s="3"/>
      <c r="J44" s="3"/>
      <c r="K44" s="3"/>
      <c r="L44" s="3"/>
      <c r="M44" s="3"/>
      <c r="N44" s="3"/>
      <c r="O44" s="3"/>
      <c r="P44" s="3"/>
      <c r="Q44" s="3"/>
      <c r="R44" s="3"/>
      <c r="S44" s="3"/>
      <c r="T44" s="3"/>
      <c r="U44" s="3"/>
      <c r="V44" s="3"/>
      <c r="W44" s="3"/>
    </row>
    <row r="45" spans="1:23" x14ac:dyDescent="0.3">
      <c r="A45" s="9"/>
      <c r="B45" s="9"/>
      <c r="C45" s="3"/>
      <c r="D45" s="3"/>
      <c r="E45" s="3"/>
      <c r="F45" s="3"/>
      <c r="G45" s="3"/>
      <c r="H45" s="3"/>
      <c r="I45" s="3"/>
      <c r="J45" s="3"/>
      <c r="K45" s="3"/>
      <c r="L45" s="3"/>
      <c r="M45" s="3"/>
      <c r="N45" s="3"/>
      <c r="O45" s="3"/>
      <c r="P45" s="3"/>
      <c r="Q45" s="3"/>
      <c r="R45" s="3"/>
      <c r="S45" s="3"/>
      <c r="T45" s="3"/>
      <c r="U45" s="3"/>
      <c r="V45" s="3"/>
      <c r="W45" s="3"/>
    </row>
    <row r="46" spans="1:23" x14ac:dyDescent="0.3">
      <c r="A46" s="9"/>
      <c r="B46" s="9"/>
      <c r="C46" s="3"/>
      <c r="D46" s="3"/>
      <c r="E46" s="3"/>
      <c r="F46" s="3"/>
      <c r="G46" s="3"/>
      <c r="H46" s="3"/>
      <c r="I46" s="3"/>
      <c r="J46" s="3"/>
      <c r="K46" s="3"/>
      <c r="L46" s="3"/>
      <c r="M46" s="3"/>
      <c r="N46" s="3"/>
      <c r="O46" s="3"/>
      <c r="P46" s="3"/>
      <c r="Q46" s="3"/>
      <c r="R46" s="3"/>
      <c r="S46" s="3"/>
      <c r="T46" s="3"/>
      <c r="U46" s="3"/>
      <c r="V46" s="3"/>
      <c r="W46" s="3"/>
    </row>
    <row r="47" spans="1:23" x14ac:dyDescent="0.3">
      <c r="A47" s="9"/>
      <c r="B47" s="9"/>
      <c r="C47" s="3"/>
      <c r="D47" s="3"/>
      <c r="E47" s="3"/>
      <c r="F47" s="3"/>
      <c r="G47" s="3"/>
      <c r="H47" s="3"/>
      <c r="I47" s="3"/>
      <c r="J47" s="3"/>
      <c r="K47" s="3"/>
      <c r="L47" s="3"/>
      <c r="M47" s="3"/>
      <c r="N47" s="3"/>
      <c r="O47" s="3"/>
      <c r="P47" s="3"/>
      <c r="Q47" s="3"/>
      <c r="R47" s="3"/>
      <c r="S47" s="3"/>
      <c r="T47" s="3"/>
      <c r="U47" s="3"/>
      <c r="V47" s="3"/>
      <c r="W47" s="3"/>
    </row>
    <row r="48" spans="1:23" x14ac:dyDescent="0.3">
      <c r="A48" s="9"/>
      <c r="B48" s="9"/>
      <c r="C48" s="3"/>
      <c r="D48" s="3"/>
      <c r="E48" s="3"/>
      <c r="F48" s="3"/>
      <c r="G48" s="3"/>
      <c r="H48" s="3"/>
      <c r="I48" s="3"/>
      <c r="J48" s="3"/>
      <c r="K48" s="3"/>
      <c r="L48" s="3"/>
      <c r="M48" s="3"/>
      <c r="N48" s="3"/>
      <c r="O48" s="3"/>
      <c r="P48" s="3"/>
      <c r="Q48" s="3"/>
      <c r="R48" s="3"/>
      <c r="S48" s="3"/>
      <c r="T48" s="3"/>
      <c r="U48" s="3"/>
      <c r="V48" s="3"/>
      <c r="W48" s="3"/>
    </row>
    <row r="49" spans="1:23" x14ac:dyDescent="0.3">
      <c r="A49" s="9"/>
      <c r="B49" s="9"/>
      <c r="C49" s="3"/>
      <c r="D49" s="3"/>
      <c r="E49" s="3"/>
      <c r="F49" s="3"/>
      <c r="G49" s="3"/>
      <c r="H49" s="3"/>
      <c r="I49" s="3"/>
      <c r="J49" s="3"/>
      <c r="K49" s="3"/>
      <c r="L49" s="3"/>
      <c r="M49" s="3"/>
      <c r="N49" s="3"/>
      <c r="O49" s="3"/>
      <c r="P49" s="3"/>
      <c r="Q49" s="3"/>
      <c r="R49" s="3"/>
      <c r="S49" s="3"/>
      <c r="T49" s="3"/>
      <c r="U49" s="3"/>
      <c r="V49" s="3"/>
      <c r="W49" s="3"/>
    </row>
    <row r="50" spans="1:23" x14ac:dyDescent="0.3">
      <c r="A50" s="9"/>
      <c r="B50" s="9"/>
      <c r="C50" s="3"/>
      <c r="D50" s="3"/>
      <c r="E50" s="3"/>
      <c r="F50" s="3"/>
      <c r="G50" s="3"/>
      <c r="H50" s="3"/>
      <c r="I50" s="3"/>
      <c r="J50" s="3"/>
      <c r="K50" s="3"/>
      <c r="L50" s="3"/>
      <c r="M50" s="3"/>
      <c r="N50" s="3"/>
      <c r="O50" s="3"/>
      <c r="P50" s="3"/>
      <c r="Q50" s="3"/>
      <c r="R50" s="3"/>
      <c r="S50" s="3"/>
      <c r="T50" s="3"/>
      <c r="U50" s="3"/>
      <c r="V50" s="3"/>
      <c r="W50" s="3"/>
    </row>
  </sheetData>
  <mergeCells count="8">
    <mergeCell ref="I5:J6"/>
    <mergeCell ref="I7:J8"/>
    <mergeCell ref="L5:M6"/>
    <mergeCell ref="L7:M8"/>
    <mergeCell ref="C5:D6"/>
    <mergeCell ref="C7:D8"/>
    <mergeCell ref="F5:G6"/>
    <mergeCell ref="F7:G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Spotify 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kunal saxena</cp:lastModifiedBy>
  <dcterms:created xsi:type="dcterms:W3CDTF">2026-09-20T13:38:52Z</dcterms:created>
  <dcterms:modified xsi:type="dcterms:W3CDTF">2026-09-20T16:30:08Z</dcterms:modified>
</cp:coreProperties>
</file>